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Projects\Sales_Performance_Analysis\"/>
    </mc:Choice>
  </mc:AlternateContent>
  <xr:revisionPtr revIDLastSave="0" documentId="13_ncr:1_{32ECCBAC-E5D8-40F8-9A4B-E8E949D6E2A3}" xr6:coauthVersionLast="47" xr6:coauthVersionMax="47" xr10:uidLastSave="{00000000-0000-0000-0000-000000000000}"/>
  <bookViews>
    <workbookView xWindow="-120" yWindow="-120" windowWidth="20730" windowHeight="11040" xr2:uid="{54AE523D-B053-4E17-B7C2-8BFC1A093636}"/>
  </bookViews>
  <sheets>
    <sheet name="sales_data" sheetId="1" r:id="rId1"/>
    <sheet name="KPI" sheetId="2" r:id="rId2"/>
    <sheet name="Pivot_Analysis" sheetId="4" r:id="rId3"/>
    <sheet name="Dashboard" sheetId="3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" l="1"/>
  <c r="D12" i="2"/>
  <c r="D11" i="2"/>
  <c r="D10" i="2"/>
  <c r="D9" i="2"/>
  <c r="D8" i="2"/>
  <c r="D7" i="2"/>
  <c r="D6" i="2"/>
</calcChain>
</file>

<file path=xl/sharedStrings.xml><?xml version="1.0" encoding="utf-8"?>
<sst xmlns="http://schemas.openxmlformats.org/spreadsheetml/2006/main" count="4080" uniqueCount="57">
  <si>
    <t>Region</t>
  </si>
  <si>
    <t>Salesperson</t>
  </si>
  <si>
    <t>Revenue</t>
  </si>
  <si>
    <t>Profit</t>
  </si>
  <si>
    <t>Units_Sold</t>
  </si>
  <si>
    <t>Customer_Satisfaction</t>
  </si>
  <si>
    <t>Marketing_Spend</t>
  </si>
  <si>
    <t>Discount_Percentage</t>
  </si>
  <si>
    <t>Product_Category</t>
  </si>
  <si>
    <t>Sales_Channel</t>
  </si>
  <si>
    <t>Order_Processing_Time</t>
  </si>
  <si>
    <t>East</t>
  </si>
  <si>
    <t>Alice</t>
  </si>
  <si>
    <t>Furniture</t>
  </si>
  <si>
    <t>Retail</t>
  </si>
  <si>
    <t>West</t>
  </si>
  <si>
    <t>Automobile</t>
  </si>
  <si>
    <t>Wholesale</t>
  </si>
  <si>
    <t>North</t>
  </si>
  <si>
    <t>Eve</t>
  </si>
  <si>
    <t>Online</t>
  </si>
  <si>
    <t>David</t>
  </si>
  <si>
    <t>Electronics</t>
  </si>
  <si>
    <t>Clothing</t>
  </si>
  <si>
    <t>South</t>
  </si>
  <si>
    <t>Charlie</t>
  </si>
  <si>
    <t>Grocery</t>
  </si>
  <si>
    <t>Bob</t>
  </si>
  <si>
    <t>KPI</t>
  </si>
  <si>
    <t>Value</t>
  </si>
  <si>
    <t>Total Revenue</t>
  </si>
  <si>
    <t>Avg Customer Satisfaction</t>
  </si>
  <si>
    <t>Avg Marketing Spend</t>
  </si>
  <si>
    <t>Avg Discount Percentage</t>
  </si>
  <si>
    <t xml:space="preserve">Avg Order Processing Time </t>
  </si>
  <si>
    <t>Total Orders</t>
  </si>
  <si>
    <t>Total Units Sold</t>
  </si>
  <si>
    <r>
      <rPr>
        <b/>
        <sz val="16"/>
        <color theme="0"/>
        <rFont val="Aptos Narrow"/>
        <family val="2"/>
        <scheme val="minor"/>
      </rPr>
      <t xml:space="preserve">SALES PERFORMANCE ANALYSIS </t>
    </r>
    <r>
      <rPr>
        <sz val="11"/>
        <color theme="0"/>
        <rFont val="Aptos Narrow"/>
        <family val="2"/>
        <scheme val="minor"/>
      </rPr>
      <t xml:space="preserve">
</t>
    </r>
    <r>
      <rPr>
        <b/>
        <sz val="12"/>
        <color theme="0"/>
        <rFont val="Aptos Narrow"/>
        <family val="2"/>
        <scheme val="minor"/>
      </rPr>
      <t>KPI SUMMARY</t>
    </r>
  </si>
  <si>
    <t>Row Labels</t>
  </si>
  <si>
    <t>Grand Total</t>
  </si>
  <si>
    <t>Sum of Revenue</t>
  </si>
  <si>
    <t>Revenue by Region</t>
  </si>
  <si>
    <t>Pivot Analysis Sheet</t>
  </si>
  <si>
    <t>Profit by Region</t>
  </si>
  <si>
    <t>1.Revenue by Region</t>
  </si>
  <si>
    <t>2.Profit by Region</t>
  </si>
  <si>
    <t>Sum of Profit</t>
  </si>
  <si>
    <t>Revenue by Product Category</t>
  </si>
  <si>
    <t>3.Revenue by Product Category</t>
  </si>
  <si>
    <t>4.Top Salespersons by Revenue</t>
  </si>
  <si>
    <t>5.Revenue by Sales Channel</t>
  </si>
  <si>
    <t>6.Average Customer Satisfaction by Region</t>
  </si>
  <si>
    <t>Avg of Customer_Satisfaction</t>
  </si>
  <si>
    <t>SALES PERFORMANCE ANALYSIS DASHBOARD</t>
  </si>
  <si>
    <t>Top Salespersons by Revenue</t>
  </si>
  <si>
    <t>Revenue by Sales Channel</t>
  </si>
  <si>
    <t xml:space="preserve"> Customer Satisfaction by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</si>
</sst>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&quot;₹&quot;\ #,##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8"/>
      <color theme="0"/>
      <name val="Aptos Narrow"/>
      <family val="2"/>
      <scheme val="minor"/>
    </font>
    <font>
      <sz val="11"/>
      <color rgb="FF1F4E78"/>
      <name val="Aptos Narrow"/>
      <family val="2"/>
      <scheme val="minor"/>
    </font>
    <font>
      <b/>
      <sz val="11"/>
      <color rgb="FF1F4E78"/>
      <name val="Calibri"/>
      <family val="2"/>
    </font>
    <font>
      <b/>
      <sz val="11"/>
      <color rgb="FF1F4E78"/>
      <name val="Aptos Narrow"/>
      <family val="2"/>
      <scheme val="minor"/>
    </font>
    <font>
      <b/>
      <sz val="24"/>
      <color theme="0"/>
      <name val="Calibri"/>
      <family val="2"/>
    </font>
    <font>
      <b/>
      <sz val="18"/>
      <color rgb="FF1F1F1F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0" fillId="0" borderId="10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0" fillId="0" borderId="10" xfId="0" applyNumberFormat="1" applyBorder="1" applyAlignment="1">
      <alignment horizontal="center" vertical="center" readingOrder="2"/>
    </xf>
    <xf numFmtId="1" fontId="0" fillId="0" borderId="10" xfId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0" fillId="0" borderId="0" xfId="0" pivotButton="1" applyFont="1" applyAlignment="1">
      <alignment horizontal="center"/>
    </xf>
    <xf numFmtId="0" fontId="20" fillId="0" borderId="0" xfId="0" applyFont="1" applyAlignment="1">
      <alignment horizontal="center"/>
    </xf>
    <xf numFmtId="164" fontId="20" fillId="0" borderId="0" xfId="0" applyNumberFormat="1" applyFont="1" applyAlignment="1">
      <alignment horizontal="center"/>
    </xf>
    <xf numFmtId="0" fontId="0" fillId="0" borderId="0" xfId="0" pivotButton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35" borderId="0" xfId="0" applyFill="1" applyAlignment="1">
      <alignment horizontal="center"/>
    </xf>
    <xf numFmtId="0" fontId="22" fillId="0" borderId="0" xfId="0" applyFont="1" applyAlignment="1">
      <alignment horizontal="center"/>
    </xf>
    <xf numFmtId="0" fontId="24" fillId="35" borderId="10" xfId="0" applyFont="1" applyFill="1" applyBorder="1" applyAlignment="1">
      <alignment horizontal="center"/>
    </xf>
    <xf numFmtId="0" fontId="20" fillId="36" borderId="0" xfId="0" applyFont="1" applyFill="1"/>
    <xf numFmtId="0" fontId="25" fillId="34" borderId="0" xfId="0" applyFont="1" applyFill="1" applyAlignment="1">
      <alignment horizontal="center"/>
    </xf>
    <xf numFmtId="0" fontId="26" fillId="36" borderId="0" xfId="0" applyFont="1" applyFill="1" applyAlignment="1">
      <alignment horizontal="center"/>
    </xf>
    <xf numFmtId="0" fontId="17" fillId="34" borderId="0" xfId="0" applyFont="1" applyFill="1" applyAlignment="1">
      <alignment horizontal="center" vertical="top" wrapText="1"/>
    </xf>
    <xf numFmtId="0" fontId="21" fillId="34" borderId="0" xfId="0" applyFont="1" applyFill="1" applyAlignment="1">
      <alignment horizontal="center"/>
    </xf>
    <xf numFmtId="0" fontId="21" fillId="33" borderId="0" xfId="0" applyFont="1" applyFill="1" applyAlignment="1">
      <alignment horizontal="center"/>
    </xf>
    <xf numFmtId="0" fontId="23" fillId="35" borderId="0" xfId="0" applyFont="1" applyFill="1" applyAlignment="1">
      <alignment horizontal="center"/>
    </xf>
    <xf numFmtId="0" fontId="24" fillId="35" borderId="0" xfId="0" applyFont="1" applyFill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0" fontId="0" fillId="0" borderId="18" xfId="0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69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₹&quot;\ 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₹&quot;\ 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rgb="FFD9EAF7"/>
        </patternFill>
      </fill>
    </dxf>
    <dxf>
      <fill>
        <patternFill patternType="solid">
          <bgColor rgb="FFD9EAF7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A98BC4"/>
      <color rgb="FF8E6BBE"/>
      <color rgb="FFD66BA0"/>
      <color rgb="FF7B4FA3"/>
      <color rgb="FFD9EAF7"/>
      <color rgb="FF1F1F1F"/>
      <color rgb="FFFFC000"/>
      <color rgb="FF4BACC6"/>
      <color rgb="FF8064A2"/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[Sales_Analysis_Excel.xlsx]Pivot_Analysis!PivotTable1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rgbClr val="5B9BD5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Pivot_Analysis!$D$6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5B9BD5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Pivot_Analysis!$C$7:$C$11</c:f>
              <c:strCache>
                <c:ptCount val="4"/>
                <c:pt idx="0">
                  <c:v>North</c:v>
                </c:pt>
                <c:pt idx="1">
                  <c:v>West</c:v>
                </c:pt>
                <c:pt idx="2">
                  <c:v>East</c:v>
                </c:pt>
                <c:pt idx="3">
                  <c:v>South</c:v>
                </c:pt>
              </c:strCache>
            </c:strRef>
          </c:cat>
          <c:val>
            <c:numRef>
              <c:f>Pivot_Analysis!$D$7:$D$11</c:f>
              <c:numCache>
                <c:formatCode>"₹"\ #,##0</c:formatCode>
                <c:ptCount val="4"/>
                <c:pt idx="0">
                  <c:v>29373063</c:v>
                </c:pt>
                <c:pt idx="1">
                  <c:v>28628148</c:v>
                </c:pt>
                <c:pt idx="2">
                  <c:v>25438195</c:v>
                </c:pt>
                <c:pt idx="3">
                  <c:v>23876202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D0-4153-8207-C84D16E5F0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44100672"/>
        <c:axId val="693170352"/>
      </c:barChart>
      <c:catAx>
        <c:axId val="84410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170352"/>
        <c:crosses val="autoZero"/>
        <c:auto val="1"/>
        <c:lblAlgn val="ctr"/>
        <c:lblOffset val="100"/>
        <c:noMultiLvlLbl val="0"/>
      </c:catAx>
      <c:valAx>
        <c:axId val="693170352"/>
        <c:scaling>
          <c:orientation val="minMax"/>
        </c:scaling>
        <c:delete val="0"/>
        <c:axPos val="l"/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100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0AD47"/>
          </a:solidFill>
          <a:ln>
            <a:solidFill>
              <a:srgbClr val="70AD47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70AD47"/>
            </a:solidFill>
            <a:ln>
              <a:solidFill>
                <a:srgbClr val="70AD47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West</c:v>
              </c:pt>
              <c:pt idx="1">
                <c:v>North</c:v>
              </c:pt>
              <c:pt idx="2">
                <c:v>South</c:v>
              </c:pt>
              <c:pt idx="3">
                <c:v>East</c:v>
              </c:pt>
            </c:strLit>
          </c:cat>
          <c:val>
            <c:numLit>
              <c:formatCode>General</c:formatCode>
              <c:ptCount val="4"/>
              <c:pt idx="0">
                <c:v>7084145</c:v>
              </c:pt>
              <c:pt idx="1">
                <c:v>6027453</c:v>
              </c:pt>
              <c:pt idx="2">
                <c:v>5509219</c:v>
              </c:pt>
              <c:pt idx="3">
                <c:v>5352301</c:v>
              </c:pt>
            </c:numLit>
          </c:val>
          <c:extLst>
            <c:ext xmlns:c16="http://schemas.microsoft.com/office/drawing/2014/chart" uri="{C3380CC4-5D6E-409C-BE32-E72D297353CC}">
              <c16:uniqueId val="{00000000-C475-4113-AC89-ACAD81C3C0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62300480"/>
        <c:axId val="693147792"/>
      </c:barChart>
      <c:catAx>
        <c:axId val="76230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147792"/>
        <c:crosses val="autoZero"/>
        <c:auto val="1"/>
        <c:lblAlgn val="ctr"/>
        <c:lblOffset val="100"/>
        <c:noMultiLvlLbl val="0"/>
      </c:catAx>
      <c:valAx>
        <c:axId val="693147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300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Electronics</c:v>
              </c:pt>
              <c:pt idx="1">
                <c:v>Clothing</c:v>
              </c:pt>
              <c:pt idx="2">
                <c:v>Grocery</c:v>
              </c:pt>
              <c:pt idx="3">
                <c:v>Furniture</c:v>
              </c:pt>
              <c:pt idx="4">
                <c:v>Automobile</c:v>
              </c:pt>
            </c:strLit>
          </c:cat>
          <c:val>
            <c:numLit>
              <c:formatCode>General</c:formatCode>
              <c:ptCount val="5"/>
              <c:pt idx="0">
                <c:v>23172817</c:v>
              </c:pt>
              <c:pt idx="1">
                <c:v>22711315</c:v>
              </c:pt>
              <c:pt idx="2">
                <c:v>20896726</c:v>
              </c:pt>
              <c:pt idx="3">
                <c:v>20612653</c:v>
              </c:pt>
              <c:pt idx="4">
                <c:v>19922097</c:v>
              </c:pt>
            </c:numLit>
          </c:val>
          <c:extLst>
            <c:ext xmlns:c16="http://schemas.microsoft.com/office/drawing/2014/chart" uri="{C3380CC4-5D6E-409C-BE32-E72D297353CC}">
              <c16:uniqueId val="{00000000-86E9-4D7D-B1AE-AB3326D77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1658288"/>
        <c:axId val="693149712"/>
      </c:barChart>
      <c:catAx>
        <c:axId val="791658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149712"/>
        <c:crosses val="autoZero"/>
        <c:auto val="1"/>
        <c:lblAlgn val="ctr"/>
        <c:lblOffset val="100"/>
        <c:noMultiLvlLbl val="0"/>
      </c:catAx>
      <c:valAx>
        <c:axId val="69314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65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8064A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0411358635805003E-2"/>
          <c:y val="6.9270182252625847E-3"/>
          <c:w val="0.85290709572344314"/>
          <c:h val="0.85895530307926082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8E6BB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Alice</c:v>
              </c:pt>
              <c:pt idx="1">
                <c:v>Eve</c:v>
              </c:pt>
              <c:pt idx="2">
                <c:v>Bob</c:v>
              </c:pt>
              <c:pt idx="3">
                <c:v>Charlie</c:v>
              </c:pt>
              <c:pt idx="4">
                <c:v>David</c:v>
              </c:pt>
            </c:strLit>
          </c:cat>
          <c:val>
            <c:numLit>
              <c:formatCode>General</c:formatCode>
              <c:ptCount val="5"/>
              <c:pt idx="0">
                <c:v>22945316</c:v>
              </c:pt>
              <c:pt idx="1">
                <c:v>22490262</c:v>
              </c:pt>
              <c:pt idx="2">
                <c:v>22209168</c:v>
              </c:pt>
              <c:pt idx="3">
                <c:v>21599594</c:v>
              </c:pt>
              <c:pt idx="4">
                <c:v>18071268</c:v>
              </c:pt>
            </c:numLit>
          </c:val>
          <c:extLst>
            <c:ext xmlns:c16="http://schemas.microsoft.com/office/drawing/2014/chart" uri="{C3380CC4-5D6E-409C-BE32-E72D297353CC}">
              <c16:uniqueId val="{00000000-6CBB-4309-B482-FBF6506C3A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63348208"/>
        <c:axId val="693137232"/>
      </c:barChart>
      <c:catAx>
        <c:axId val="763348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137232"/>
        <c:crosses val="autoZero"/>
        <c:auto val="1"/>
        <c:lblAlgn val="ctr"/>
        <c:lblOffset val="100"/>
        <c:noMultiLvlLbl val="0"/>
      </c:catAx>
      <c:valAx>
        <c:axId val="69313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348208"/>
        <c:crosses val="autoZero"/>
        <c:crossBetween val="between"/>
      </c:valAx>
      <c:spPr>
        <a:noFill/>
        <a:ln>
          <a:solidFill>
            <a:schemeClr val="bg2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ivotFmts>
      <c:pivotFmt>
        <c:idx val="0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3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4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5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7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8"/>
        <c:spPr>
          <a:solidFill>
            <a:schemeClr val="accent5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>
        <c:manualLayout>
          <c:layoutTarget val="inner"/>
          <c:xMode val="edge"/>
          <c:yMode val="edge"/>
          <c:x val="0.29691932487679112"/>
          <c:y val="2.6322276487898064E-2"/>
          <c:w val="0.43145511430092304"/>
          <c:h val="0.7981275550771304"/>
        </c:manualLayout>
      </c:layout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5">
                  <a:shade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A5C-45C9-A951-B1FAE9C50AA4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A5C-45C9-A951-B1FAE9C50AA4}"/>
              </c:ext>
            </c:extLst>
          </c:dPt>
          <c:dPt>
            <c:idx val="2"/>
            <c:bubble3D val="0"/>
            <c:spPr>
              <a:solidFill>
                <a:schemeClr val="accent5">
                  <a:tint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A5C-45C9-A951-B1FAE9C50AA4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3"/>
              <c:pt idx="0">
                <c:v>Retail</c:v>
              </c:pt>
              <c:pt idx="1">
                <c:v>Online</c:v>
              </c:pt>
              <c:pt idx="2">
                <c:v>Wholesale</c:v>
              </c:pt>
            </c:strLit>
          </c:cat>
          <c:val>
            <c:numLit>
              <c:formatCode>General</c:formatCode>
              <c:ptCount val="3"/>
              <c:pt idx="0">
                <c:v>36379664</c:v>
              </c:pt>
              <c:pt idx="1">
                <c:v>35655573</c:v>
              </c:pt>
              <c:pt idx="2">
                <c:v>35280371</c:v>
              </c:pt>
            </c:numLit>
          </c:val>
          <c:extLst>
            <c:ext xmlns:c16="http://schemas.microsoft.com/office/drawing/2014/chart" uri="{C3380CC4-5D6E-409C-BE32-E72D297353CC}">
              <c16:uniqueId val="{00000006-5A5C-45C9-A951-B1FAE9C50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ivotFmts>
      <c:pivotFmt>
        <c:idx val="0"/>
        <c:spPr>
          <a:solidFill>
            <a:schemeClr val="accent5"/>
          </a:solidFill>
          <a:ln w="9525" cap="flat" cmpd="sng" algn="ctr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9525" cap="flat" cmpd="sng" algn="ctr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 w="9525" cap="flat" cmpd="sng" algn="ctr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rgbClr val="A98BC4"/>
              </a:solidFill>
              <a:round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East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2.8739655172413801</c:v>
              </c:pt>
              <c:pt idx="1">
                <c:v>2.9946899224806183</c:v>
              </c:pt>
              <c:pt idx="2">
                <c:v>3.0140434782608692</c:v>
              </c:pt>
              <c:pt idx="3">
                <c:v>2.9671428571428566</c:v>
              </c:pt>
            </c:numLit>
          </c:val>
          <c:extLst>
            <c:ext xmlns:c16="http://schemas.microsoft.com/office/drawing/2014/chart" uri="{C3380CC4-5D6E-409C-BE32-E72D297353CC}">
              <c16:uniqueId val="{00000000-7B6E-406C-92AB-A3BCA80AD8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61793888"/>
        <c:axId val="693135312"/>
      </c:barChart>
      <c:catAx>
        <c:axId val="7617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135312"/>
        <c:crosses val="autoZero"/>
        <c:auto val="1"/>
        <c:lblAlgn val="ctr"/>
        <c:lblOffset val="100"/>
        <c:noMultiLvlLbl val="0"/>
      </c:catAx>
      <c:valAx>
        <c:axId val="69313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793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[Sales_Analysis_Excel.xlsx]Pivot_Analysis!PivotTable1</c:name>
    <c:fmtId val="4"/>
  </c:pivotSource>
  <c:chart>
    <c:autoTitleDeleted val="1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7B4FA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B4FA3"/>
          </a:solidFill>
          <a:ln>
            <a:noFill/>
          </a:ln>
          <a:effectLst/>
        </c:spPr>
      </c:pivotFmt>
      <c:pivotFmt>
        <c:idx val="5"/>
        <c:spPr>
          <a:solidFill>
            <a:srgbClr val="7B4FA3"/>
          </a:solidFill>
          <a:ln>
            <a:noFill/>
          </a:ln>
          <a:effectLst/>
        </c:spPr>
      </c:pivotFmt>
      <c:pivotFmt>
        <c:idx val="6"/>
        <c:spPr>
          <a:solidFill>
            <a:srgbClr val="7B4FA3"/>
          </a:solidFill>
          <a:ln>
            <a:noFill/>
          </a:ln>
          <a:effectLst/>
        </c:spPr>
      </c:pivotFmt>
      <c:pivotFmt>
        <c:idx val="7"/>
        <c:spPr>
          <a:solidFill>
            <a:srgbClr val="7B4FA3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Pivot_Analysis!$D$6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B4FA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B4FA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CCB-44FD-A4BD-4DB2BC8903C2}"/>
              </c:ext>
            </c:extLst>
          </c:dPt>
          <c:dPt>
            <c:idx val="1"/>
            <c:invertIfNegative val="0"/>
            <c:bubble3D val="0"/>
            <c:spPr>
              <a:solidFill>
                <a:srgbClr val="7B4FA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CCB-44FD-A4BD-4DB2BC8903C2}"/>
              </c:ext>
            </c:extLst>
          </c:dPt>
          <c:dPt>
            <c:idx val="2"/>
            <c:invertIfNegative val="0"/>
            <c:bubble3D val="0"/>
            <c:spPr>
              <a:solidFill>
                <a:srgbClr val="7B4FA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DCCB-44FD-A4BD-4DB2BC8903C2}"/>
              </c:ext>
            </c:extLst>
          </c:dPt>
          <c:dPt>
            <c:idx val="3"/>
            <c:invertIfNegative val="0"/>
            <c:bubble3D val="0"/>
            <c:spPr>
              <a:solidFill>
                <a:srgbClr val="7B4FA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CCB-44FD-A4BD-4DB2BC8903C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Pivot_Analysis!$C$7:$C$11</c:f>
              <c:strCache>
                <c:ptCount val="4"/>
                <c:pt idx="0">
                  <c:v>North</c:v>
                </c:pt>
                <c:pt idx="1">
                  <c:v>West</c:v>
                </c:pt>
                <c:pt idx="2">
                  <c:v>East</c:v>
                </c:pt>
                <c:pt idx="3">
                  <c:v>South</c:v>
                </c:pt>
              </c:strCache>
            </c:strRef>
          </c:cat>
          <c:val>
            <c:numRef>
              <c:f>Pivot_Analysis!$D$7:$D$11</c:f>
              <c:numCache>
                <c:formatCode>"₹"\ #,##0</c:formatCode>
                <c:ptCount val="4"/>
                <c:pt idx="0">
                  <c:v>29373063</c:v>
                </c:pt>
                <c:pt idx="1">
                  <c:v>28628148</c:v>
                </c:pt>
                <c:pt idx="2">
                  <c:v>25438195</c:v>
                </c:pt>
                <c:pt idx="3">
                  <c:v>23876202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D0-4153-8207-C84D16E5F0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844100672"/>
        <c:axId val="693170352"/>
      </c:barChart>
      <c:catAx>
        <c:axId val="84410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170352"/>
        <c:crosses val="autoZero"/>
        <c:auto val="1"/>
        <c:lblAlgn val="ctr"/>
        <c:lblOffset val="100"/>
        <c:noMultiLvlLbl val="0"/>
      </c:catAx>
      <c:valAx>
        <c:axId val="693170352"/>
        <c:scaling>
          <c:orientation val="minMax"/>
        </c:scaling>
        <c:delete val="0"/>
        <c:axPos val="l"/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100672"/>
        <c:crosses val="autoZero"/>
        <c:crossBetween val="between"/>
      </c:valAx>
      <c:spPr>
        <a:noFill/>
        <a:ln>
          <a:solidFill>
            <a:schemeClr val="bg2">
              <a:lumMod val="9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9082175036778339E-2"/>
          <c:y val="9.17135283937449E-2"/>
          <c:w val="0.86606515704680576"/>
          <c:h val="0.81889553650690194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D66BA0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West</c:v>
              </c:pt>
              <c:pt idx="1">
                <c:v>North</c:v>
              </c:pt>
              <c:pt idx="2">
                <c:v>South</c:v>
              </c:pt>
              <c:pt idx="3">
                <c:v>East</c:v>
              </c:pt>
            </c:strLit>
          </c:cat>
          <c:val>
            <c:numLit>
              <c:formatCode>General</c:formatCode>
              <c:ptCount val="4"/>
              <c:pt idx="0">
                <c:v>7084145</c:v>
              </c:pt>
              <c:pt idx="1">
                <c:v>6027453</c:v>
              </c:pt>
              <c:pt idx="2">
                <c:v>5509219</c:v>
              </c:pt>
              <c:pt idx="3">
                <c:v>5352301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475-4113-AC89-ACAD81C3C04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62300480"/>
        <c:axId val="693147792"/>
      </c:lineChart>
      <c:catAx>
        <c:axId val="76230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147792"/>
        <c:crosses val="autoZero"/>
        <c:auto val="1"/>
        <c:lblAlgn val="ctr"/>
        <c:lblOffset val="100"/>
        <c:noMultiLvlLbl val="0"/>
      </c:catAx>
      <c:valAx>
        <c:axId val="693147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2300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449-4541-BF02-ACA8E75E07D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449-4541-BF02-ACA8E75E07D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449-4541-BF02-ACA8E75E07D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449-4541-BF02-ACA8E75E07D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449-4541-BF02-ACA8E75E07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Electronics</c:v>
              </c:pt>
              <c:pt idx="1">
                <c:v>Clothing</c:v>
              </c:pt>
              <c:pt idx="2">
                <c:v>Grocery</c:v>
              </c:pt>
              <c:pt idx="3">
                <c:v>Furniture</c:v>
              </c:pt>
              <c:pt idx="4">
                <c:v>Automobile</c:v>
              </c:pt>
            </c:strLit>
          </c:cat>
          <c:val>
            <c:numLit>
              <c:formatCode>General</c:formatCode>
              <c:ptCount val="5"/>
              <c:pt idx="0">
                <c:v>23172817</c:v>
              </c:pt>
              <c:pt idx="1">
                <c:v>22711315</c:v>
              </c:pt>
              <c:pt idx="2">
                <c:v>20896726</c:v>
              </c:pt>
              <c:pt idx="3">
                <c:v>20612653</c:v>
              </c:pt>
              <c:pt idx="4">
                <c:v>19922097</c:v>
              </c:pt>
            </c:numLit>
          </c:val>
          <c:extLst>
            <c:ext xmlns:c16="http://schemas.microsoft.com/office/drawing/2014/chart" uri="{C3380CC4-5D6E-409C-BE32-E72D297353CC}">
              <c16:uniqueId val="{00000000-86E9-4D7D-B1AE-AB3326D77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5</xdr:row>
      <xdr:rowOff>9525</xdr:rowOff>
    </xdr:from>
    <xdr:to>
      <xdr:col>10</xdr:col>
      <xdr:colOff>582401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B87AD8-6B06-49A2-A190-5CDA0534C6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600075</xdr:colOff>
      <xdr:row>5</xdr:row>
      <xdr:rowOff>9525</xdr:rowOff>
    </xdr:from>
    <xdr:to>
      <xdr:col>20</xdr:col>
      <xdr:colOff>600074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F9D116-B3C4-4355-9ACF-16EDE7DAF6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600075</xdr:colOff>
      <xdr:row>20</xdr:row>
      <xdr:rowOff>173745</xdr:rowOff>
    </xdr:from>
    <xdr:to>
      <xdr:col>10</xdr:col>
      <xdr:colOff>590550</xdr:colOff>
      <xdr:row>36</xdr:row>
      <xdr:rowOff>21346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9C64DB-0CD6-47EC-B94B-6A8688193D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600073</xdr:colOff>
      <xdr:row>21</xdr:row>
      <xdr:rowOff>126999</xdr:rowOff>
    </xdr:from>
    <xdr:to>
      <xdr:col>21</xdr:col>
      <xdr:colOff>365124</xdr:colOff>
      <xdr:row>38</xdr:row>
      <xdr:rowOff>15874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100F58-BAD8-496A-AA44-E4CD38D005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600075</xdr:colOff>
      <xdr:row>40</xdr:row>
      <xdr:rowOff>81642</xdr:rowOff>
    </xdr:from>
    <xdr:to>
      <xdr:col>11</xdr:col>
      <xdr:colOff>0</xdr:colOff>
      <xdr:row>57</xdr:row>
      <xdr:rowOff>24423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7D8699-8CA1-445B-B18D-312F94B3E4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585271</xdr:colOff>
      <xdr:row>40</xdr:row>
      <xdr:rowOff>122116</xdr:rowOff>
    </xdr:from>
    <xdr:to>
      <xdr:col>21</xdr:col>
      <xdr:colOff>460375</xdr:colOff>
      <xdr:row>57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711430F-8361-4616-A663-CA804222F2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37755</xdr:colOff>
      <xdr:row>4</xdr:row>
      <xdr:rowOff>147235</xdr:rowOff>
    </xdr:from>
    <xdr:to>
      <xdr:col>11</xdr:col>
      <xdr:colOff>20081</xdr:colOff>
      <xdr:row>17</xdr:row>
      <xdr:rowOff>183613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02E1B43-ABF4-B10D-A2D4-B25FC69790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45903</xdr:colOff>
      <xdr:row>5</xdr:row>
      <xdr:rowOff>91808</xdr:rowOff>
    </xdr:from>
    <xdr:to>
      <xdr:col>21</xdr:col>
      <xdr:colOff>37754</xdr:colOff>
      <xdr:row>16</xdr:row>
      <xdr:rowOff>142875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E0C2F6C-63A8-5EE8-139F-70674641EE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</xdr:col>
      <xdr:colOff>37755</xdr:colOff>
      <xdr:row>21</xdr:row>
      <xdr:rowOff>148116</xdr:rowOff>
    </xdr:from>
    <xdr:to>
      <xdr:col>11</xdr:col>
      <xdr:colOff>28230</xdr:colOff>
      <xdr:row>36</xdr:row>
      <xdr:rowOff>111126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41548DF-3E0D-5881-C078-09146667A3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LCOT" refreshedDate="46206.816645370367" createdVersion="8" refreshedVersion="8" minRefreshableVersion="3" recordCount="1000" xr:uid="{3E9A255D-08C2-4693-ADE0-5240F8E1FDA4}">
  <cacheSource type="worksheet">
    <worksheetSource ref="A1:K1001" sheet="sales_data"/>
  </cacheSource>
  <cacheFields count="11">
    <cacheField name="Region" numFmtId="0">
      <sharedItems count="4">
        <s v="East"/>
        <s v="West"/>
        <s v="North"/>
        <s v="South"/>
      </sharedItems>
    </cacheField>
    <cacheField name="Salesperson" numFmtId="0">
      <sharedItems count="5">
        <s v="Alice"/>
        <s v="Eve"/>
        <s v="David"/>
        <s v="Charlie"/>
        <s v="Bob"/>
      </sharedItems>
    </cacheField>
    <cacheField name="Revenue" numFmtId="164">
      <sharedItems containsSemiMixedTypes="0" containsString="0" containsNumber="1" containsInteger="1" minValue="10163" maxValue="199784"/>
    </cacheField>
    <cacheField name="Profit" numFmtId="164">
      <sharedItems containsSemiMixedTypes="0" containsString="0" containsNumber="1" containsInteger="1" minValue="1097" maxValue="49980"/>
    </cacheField>
    <cacheField name="Units_Sold" numFmtId="0">
      <sharedItems containsSemiMixedTypes="0" containsString="0" containsNumber="1" containsInteger="1" minValue="10" maxValue="999"/>
    </cacheField>
    <cacheField name="Customer_Satisfaction" numFmtId="0">
      <sharedItems containsSemiMixedTypes="0" containsString="0" containsNumber="1" minValue="1" maxValue="5"/>
    </cacheField>
    <cacheField name="Marketing_Spend" numFmtId="0">
      <sharedItems containsSemiMixedTypes="0" containsString="0" containsNumber="1" containsInteger="1" minValue="501" maxValue="19980"/>
    </cacheField>
    <cacheField name="Discount_Percentage" numFmtId="0">
      <sharedItems containsSemiMixedTypes="0" containsString="0" containsNumber="1" minValue="0.03" maxValue="29.98"/>
    </cacheField>
    <cacheField name="Product_Category" numFmtId="0">
      <sharedItems count="5">
        <s v="Furniture"/>
        <s v="Automobile"/>
        <s v="Electronics"/>
        <s v="Clothing"/>
        <s v="Grocery"/>
      </sharedItems>
    </cacheField>
    <cacheField name="Sales_Channel" numFmtId="0">
      <sharedItems count="3">
        <s v="Retail"/>
        <s v="Wholesale"/>
        <s v="Online"/>
      </sharedItems>
    </cacheField>
    <cacheField name="Order_Processing_Time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n v="137118"/>
    <n v="10067"/>
    <n v="219"/>
    <n v="4.0599999999999996"/>
    <n v="14666"/>
    <n v="13.4"/>
    <x v="0"/>
    <x v="0"/>
    <n v="1"/>
  </r>
  <r>
    <x v="1"/>
    <x v="0"/>
    <n v="78577"/>
    <n v="38481"/>
    <n v="750"/>
    <n v="2.64"/>
    <n v="8254"/>
    <n v="3.7"/>
    <x v="1"/>
    <x v="1"/>
    <n v="3"/>
  </r>
  <r>
    <x v="2"/>
    <x v="0"/>
    <n v="19078"/>
    <n v="28037"/>
    <n v="406"/>
    <n v="3.62"/>
    <n v="14746"/>
    <n v="6.18"/>
    <x v="0"/>
    <x v="0"/>
    <n v="3"/>
  </r>
  <r>
    <x v="0"/>
    <x v="1"/>
    <n v="166075"/>
    <n v="10557"/>
    <n v="109"/>
    <n v="2.04"/>
    <n v="4578"/>
    <n v="0.03"/>
    <x v="0"/>
    <x v="2"/>
    <n v="5"/>
  </r>
  <r>
    <x v="0"/>
    <x v="2"/>
    <n v="72768"/>
    <n v="10435"/>
    <n v="40"/>
    <n v="1.64"/>
    <n v="13353"/>
    <n v="1.18"/>
    <x v="2"/>
    <x v="1"/>
    <n v="3"/>
  </r>
  <r>
    <x v="1"/>
    <x v="1"/>
    <n v="61047"/>
    <n v="38766"/>
    <n v="907"/>
    <n v="1.64"/>
    <n v="18251"/>
    <n v="29.32"/>
    <x v="3"/>
    <x v="2"/>
    <n v="9"/>
  </r>
  <r>
    <x v="2"/>
    <x v="2"/>
    <n v="81626"/>
    <n v="1162"/>
    <n v="537"/>
    <n v="1.28"/>
    <n v="4542"/>
    <n v="7.27"/>
    <x v="2"/>
    <x v="2"/>
    <n v="1"/>
  </r>
  <r>
    <x v="2"/>
    <x v="1"/>
    <n v="67660"/>
    <n v="35742"/>
    <n v="658"/>
    <n v="1.74"/>
    <n v="16784"/>
    <n v="19.899999999999999"/>
    <x v="1"/>
    <x v="1"/>
    <n v="4"/>
  </r>
  <r>
    <x v="0"/>
    <x v="1"/>
    <n v="190858"/>
    <n v="20675"/>
    <n v="338"/>
    <n v="3.66"/>
    <n v="14889"/>
    <n v="25.17"/>
    <x v="0"/>
    <x v="2"/>
    <n v="4"/>
  </r>
  <r>
    <x v="3"/>
    <x v="3"/>
    <n v="142997"/>
    <n v="9461"/>
    <n v="175"/>
    <n v="4.53"/>
    <n v="3075"/>
    <n v="16.52"/>
    <x v="4"/>
    <x v="0"/>
    <n v="1"/>
  </r>
  <r>
    <x v="0"/>
    <x v="1"/>
    <n v="127832"/>
    <n v="18015"/>
    <n v="468"/>
    <n v="4.26"/>
    <n v="7254"/>
    <n v="4.59"/>
    <x v="4"/>
    <x v="1"/>
    <n v="2"/>
  </r>
  <r>
    <x v="0"/>
    <x v="4"/>
    <n v="140406"/>
    <n v="33591"/>
    <n v="831"/>
    <n v="3.74"/>
    <n v="18465"/>
    <n v="21.84"/>
    <x v="0"/>
    <x v="2"/>
    <n v="1"/>
  </r>
  <r>
    <x v="0"/>
    <x v="3"/>
    <n v="135150"/>
    <n v="29047"/>
    <n v="961"/>
    <n v="1.44"/>
    <n v="2486"/>
    <n v="18.010000000000002"/>
    <x v="2"/>
    <x v="0"/>
    <n v="6"/>
  </r>
  <r>
    <x v="0"/>
    <x v="1"/>
    <n v="167087"/>
    <n v="35782"/>
    <n v="991"/>
    <n v="2.16"/>
    <n v="19124"/>
    <n v="21.94"/>
    <x v="3"/>
    <x v="0"/>
    <n v="3"/>
  </r>
  <r>
    <x v="1"/>
    <x v="0"/>
    <n v="43320"/>
    <n v="10833"/>
    <n v="109"/>
    <n v="2.2400000000000002"/>
    <n v="15970"/>
    <n v="23.09"/>
    <x v="2"/>
    <x v="2"/>
    <n v="7"/>
  </r>
  <r>
    <x v="2"/>
    <x v="4"/>
    <n v="74881"/>
    <n v="8896"/>
    <n v="630"/>
    <n v="2"/>
    <n v="6468"/>
    <n v="29.26"/>
    <x v="0"/>
    <x v="0"/>
    <n v="5"/>
  </r>
  <r>
    <x v="1"/>
    <x v="4"/>
    <n v="100827"/>
    <n v="33972"/>
    <n v="864"/>
    <n v="3.06"/>
    <n v="7993"/>
    <n v="17.21"/>
    <x v="0"/>
    <x v="1"/>
    <n v="9"/>
  </r>
  <r>
    <x v="1"/>
    <x v="4"/>
    <n v="112215"/>
    <n v="42800"/>
    <n v="182"/>
    <n v="3.14"/>
    <n v="4603"/>
    <n v="10.25"/>
    <x v="3"/>
    <x v="2"/>
    <n v="7"/>
  </r>
  <r>
    <x v="1"/>
    <x v="3"/>
    <n v="167361"/>
    <n v="31508"/>
    <n v="758"/>
    <n v="2.4300000000000002"/>
    <n v="2576"/>
    <n v="19.45"/>
    <x v="1"/>
    <x v="0"/>
    <n v="4"/>
  </r>
  <r>
    <x v="0"/>
    <x v="1"/>
    <n v="144461"/>
    <n v="6347"/>
    <n v="171"/>
    <n v="2.42"/>
    <n v="3494"/>
    <n v="2.0499999999999998"/>
    <x v="1"/>
    <x v="0"/>
    <n v="5"/>
  </r>
  <r>
    <x v="3"/>
    <x v="1"/>
    <n v="166755"/>
    <n v="31314"/>
    <n v="914"/>
    <n v="4.3099999999999996"/>
    <n v="4244"/>
    <n v="26.92"/>
    <x v="3"/>
    <x v="2"/>
    <n v="5"/>
  </r>
  <r>
    <x v="2"/>
    <x v="0"/>
    <n v="154701"/>
    <n v="3643"/>
    <n v="737"/>
    <n v="4.16"/>
    <n v="14966"/>
    <n v="3.58"/>
    <x v="1"/>
    <x v="2"/>
    <n v="5"/>
  </r>
  <r>
    <x v="3"/>
    <x v="0"/>
    <n v="71550"/>
    <n v="41785"/>
    <n v="785"/>
    <n v="2.23"/>
    <n v="15023"/>
    <n v="9.84"/>
    <x v="4"/>
    <x v="2"/>
    <n v="9"/>
  </r>
  <r>
    <x v="1"/>
    <x v="4"/>
    <n v="34826"/>
    <n v="19681"/>
    <n v="272"/>
    <n v="4.66"/>
    <n v="6094"/>
    <n v="24.47"/>
    <x v="1"/>
    <x v="2"/>
    <n v="3"/>
  </r>
  <r>
    <x v="1"/>
    <x v="0"/>
    <n v="110734"/>
    <n v="39328"/>
    <n v="813"/>
    <n v="4.8099999999999996"/>
    <n v="8031"/>
    <n v="17.920000000000002"/>
    <x v="1"/>
    <x v="1"/>
    <n v="6"/>
  </r>
  <r>
    <x v="3"/>
    <x v="3"/>
    <n v="167702"/>
    <n v="16892"/>
    <n v="283"/>
    <n v="2.31"/>
    <n v="7871"/>
    <n v="11.81"/>
    <x v="1"/>
    <x v="2"/>
    <n v="8"/>
  </r>
  <r>
    <x v="3"/>
    <x v="1"/>
    <n v="187235"/>
    <n v="48299"/>
    <n v="12"/>
    <n v="2.42"/>
    <n v="15047"/>
    <n v="14.2"/>
    <x v="4"/>
    <x v="1"/>
    <n v="9"/>
  </r>
  <r>
    <x v="3"/>
    <x v="4"/>
    <n v="108511"/>
    <n v="18073"/>
    <n v="37"/>
    <n v="3.02"/>
    <n v="18528"/>
    <n v="25.64"/>
    <x v="1"/>
    <x v="1"/>
    <n v="7"/>
  </r>
  <r>
    <x v="1"/>
    <x v="0"/>
    <n v="21653"/>
    <n v="37768"/>
    <n v="335"/>
    <n v="4.76"/>
    <n v="3644"/>
    <n v="10.199999999999999"/>
    <x v="4"/>
    <x v="2"/>
    <n v="3"/>
  </r>
  <r>
    <x v="1"/>
    <x v="3"/>
    <n v="169033"/>
    <n v="31682"/>
    <n v="949"/>
    <n v="4.51"/>
    <n v="14490"/>
    <n v="26.09"/>
    <x v="3"/>
    <x v="1"/>
    <n v="1"/>
  </r>
  <r>
    <x v="2"/>
    <x v="3"/>
    <n v="91941"/>
    <n v="33262"/>
    <n v="158"/>
    <n v="1.41"/>
    <n v="14583"/>
    <n v="2.64"/>
    <x v="2"/>
    <x v="2"/>
    <n v="4"/>
  </r>
  <r>
    <x v="2"/>
    <x v="0"/>
    <n v="43662"/>
    <n v="32358"/>
    <n v="549"/>
    <n v="2.57"/>
    <n v="17126"/>
    <n v="23.3"/>
    <x v="3"/>
    <x v="2"/>
    <n v="6"/>
  </r>
  <r>
    <x v="1"/>
    <x v="1"/>
    <n v="108818"/>
    <n v="15289"/>
    <n v="497"/>
    <n v="3.21"/>
    <n v="8454"/>
    <n v="25.43"/>
    <x v="2"/>
    <x v="0"/>
    <n v="3"/>
  </r>
  <r>
    <x v="3"/>
    <x v="0"/>
    <n v="197518"/>
    <n v="8927"/>
    <n v="831"/>
    <n v="3.01"/>
    <n v="7769"/>
    <n v="5.45"/>
    <x v="3"/>
    <x v="2"/>
    <n v="1"/>
  </r>
  <r>
    <x v="3"/>
    <x v="4"/>
    <n v="162360"/>
    <n v="49330"/>
    <n v="447"/>
    <n v="1.78"/>
    <n v="7630"/>
    <n v="12.91"/>
    <x v="2"/>
    <x v="0"/>
    <n v="6"/>
  </r>
  <r>
    <x v="2"/>
    <x v="0"/>
    <n v="105081"/>
    <n v="2171"/>
    <n v="74"/>
    <n v="4.4400000000000004"/>
    <n v="7328"/>
    <n v="4.96"/>
    <x v="2"/>
    <x v="1"/>
    <n v="1"/>
  </r>
  <r>
    <x v="1"/>
    <x v="3"/>
    <n v="46877"/>
    <n v="12918"/>
    <n v="365"/>
    <n v="3.71"/>
    <n v="9344"/>
    <n v="21.2"/>
    <x v="0"/>
    <x v="0"/>
    <n v="9"/>
  </r>
  <r>
    <x v="2"/>
    <x v="0"/>
    <n v="121562"/>
    <n v="42903"/>
    <n v="542"/>
    <n v="4.3499999999999996"/>
    <n v="14720"/>
    <n v="16.059999999999999"/>
    <x v="2"/>
    <x v="1"/>
    <n v="1"/>
  </r>
  <r>
    <x v="2"/>
    <x v="1"/>
    <n v="156385"/>
    <n v="40110"/>
    <n v="261"/>
    <n v="4.4400000000000004"/>
    <n v="6831"/>
    <n v="19.059999999999999"/>
    <x v="2"/>
    <x v="2"/>
    <n v="6"/>
  </r>
  <r>
    <x v="0"/>
    <x v="2"/>
    <n v="82715"/>
    <n v="12929"/>
    <n v="244"/>
    <n v="3.99"/>
    <n v="13897"/>
    <n v="5.89"/>
    <x v="0"/>
    <x v="1"/>
    <n v="1"/>
  </r>
  <r>
    <x v="0"/>
    <x v="0"/>
    <n v="151398"/>
    <n v="3539"/>
    <n v="236"/>
    <n v="2.76"/>
    <n v="18383"/>
    <n v="6.35"/>
    <x v="1"/>
    <x v="1"/>
    <n v="7"/>
  </r>
  <r>
    <x v="0"/>
    <x v="1"/>
    <n v="120091"/>
    <n v="37727"/>
    <n v="534"/>
    <n v="3.44"/>
    <n v="10791"/>
    <n v="1.24"/>
    <x v="1"/>
    <x v="2"/>
    <n v="3"/>
  </r>
  <r>
    <x v="3"/>
    <x v="1"/>
    <n v="142632"/>
    <n v="46951"/>
    <n v="322"/>
    <n v="1.64"/>
    <n v="19042"/>
    <n v="9.66"/>
    <x v="0"/>
    <x v="1"/>
    <n v="6"/>
  </r>
  <r>
    <x v="1"/>
    <x v="3"/>
    <n v="89148"/>
    <n v="23669"/>
    <n v="58"/>
    <n v="3.69"/>
    <n v="10664"/>
    <n v="16.79"/>
    <x v="4"/>
    <x v="2"/>
    <n v="7"/>
  </r>
  <r>
    <x v="1"/>
    <x v="1"/>
    <n v="93186"/>
    <n v="6432"/>
    <n v="127"/>
    <n v="1.72"/>
    <n v="10950"/>
    <n v="25.74"/>
    <x v="2"/>
    <x v="0"/>
    <n v="1"/>
  </r>
  <r>
    <x v="1"/>
    <x v="1"/>
    <n v="167817"/>
    <n v="21644"/>
    <n v="63"/>
    <n v="3.78"/>
    <n v="2535"/>
    <n v="20.010000000000002"/>
    <x v="2"/>
    <x v="2"/>
    <n v="1"/>
  </r>
  <r>
    <x v="1"/>
    <x v="1"/>
    <n v="172962"/>
    <n v="19745"/>
    <n v="659"/>
    <n v="1.92"/>
    <n v="11963"/>
    <n v="13.06"/>
    <x v="0"/>
    <x v="2"/>
    <n v="5"/>
  </r>
  <r>
    <x v="0"/>
    <x v="1"/>
    <n v="161094"/>
    <n v="29228"/>
    <n v="574"/>
    <n v="1.47"/>
    <n v="8477"/>
    <n v="28.59"/>
    <x v="0"/>
    <x v="1"/>
    <n v="6"/>
  </r>
  <r>
    <x v="3"/>
    <x v="4"/>
    <n v="133629"/>
    <n v="35521"/>
    <n v="53"/>
    <n v="1.66"/>
    <n v="17741"/>
    <n v="21.58"/>
    <x v="4"/>
    <x v="0"/>
    <n v="9"/>
  </r>
  <r>
    <x v="3"/>
    <x v="4"/>
    <n v="193651"/>
    <n v="32703"/>
    <n v="824"/>
    <n v="1.01"/>
    <n v="12682"/>
    <n v="27.9"/>
    <x v="1"/>
    <x v="2"/>
    <n v="1"/>
  </r>
  <r>
    <x v="0"/>
    <x v="3"/>
    <n v="80316"/>
    <n v="27928"/>
    <n v="62"/>
    <n v="3.87"/>
    <n v="798"/>
    <n v="15.83"/>
    <x v="3"/>
    <x v="0"/>
    <n v="4"/>
  </r>
  <r>
    <x v="3"/>
    <x v="0"/>
    <n v="38380"/>
    <n v="19322"/>
    <n v="595"/>
    <n v="3.93"/>
    <n v="1423"/>
    <n v="7.77"/>
    <x v="1"/>
    <x v="0"/>
    <n v="8"/>
  </r>
  <r>
    <x v="0"/>
    <x v="1"/>
    <n v="120198"/>
    <n v="23360"/>
    <n v="567"/>
    <n v="3.06"/>
    <n v="13831"/>
    <n v="1.58"/>
    <x v="2"/>
    <x v="1"/>
    <n v="9"/>
  </r>
  <r>
    <x v="1"/>
    <x v="0"/>
    <n v="12356"/>
    <n v="30055"/>
    <n v="534"/>
    <n v="1.65"/>
    <n v="19683"/>
    <n v="21.78"/>
    <x v="0"/>
    <x v="2"/>
    <n v="3"/>
  </r>
  <r>
    <x v="0"/>
    <x v="0"/>
    <n v="80326"/>
    <n v="43891"/>
    <n v="686"/>
    <n v="1.33"/>
    <n v="7078"/>
    <n v="3.64"/>
    <x v="4"/>
    <x v="1"/>
    <n v="2"/>
  </r>
  <r>
    <x v="1"/>
    <x v="3"/>
    <n v="102447"/>
    <n v="17376"/>
    <n v="111"/>
    <n v="1.08"/>
    <n v="5375"/>
    <n v="9.08"/>
    <x v="1"/>
    <x v="2"/>
    <n v="4"/>
  </r>
  <r>
    <x v="1"/>
    <x v="1"/>
    <n v="124994"/>
    <n v="7588"/>
    <n v="801"/>
    <n v="1.66"/>
    <n v="12754"/>
    <n v="15.97"/>
    <x v="4"/>
    <x v="0"/>
    <n v="2"/>
  </r>
  <r>
    <x v="2"/>
    <x v="1"/>
    <n v="30049"/>
    <n v="26000"/>
    <n v="779"/>
    <n v="4.5599999999999996"/>
    <n v="18686"/>
    <n v="16.93"/>
    <x v="1"/>
    <x v="2"/>
    <n v="1"/>
  </r>
  <r>
    <x v="0"/>
    <x v="2"/>
    <n v="115361"/>
    <n v="7304"/>
    <n v="991"/>
    <n v="1.97"/>
    <n v="11405"/>
    <n v="18.02"/>
    <x v="2"/>
    <x v="2"/>
    <n v="3"/>
  </r>
  <r>
    <x v="2"/>
    <x v="0"/>
    <n v="26082"/>
    <n v="8345"/>
    <n v="858"/>
    <n v="2.42"/>
    <n v="13853"/>
    <n v="4.99"/>
    <x v="3"/>
    <x v="0"/>
    <n v="7"/>
  </r>
  <r>
    <x v="0"/>
    <x v="0"/>
    <n v="10661"/>
    <n v="30300"/>
    <n v="877"/>
    <n v="1.42"/>
    <n v="16382"/>
    <n v="11.39"/>
    <x v="4"/>
    <x v="0"/>
    <n v="1"/>
  </r>
  <r>
    <x v="0"/>
    <x v="4"/>
    <n v="178484"/>
    <n v="25259"/>
    <n v="407"/>
    <n v="1.89"/>
    <n v="19541"/>
    <n v="18.52"/>
    <x v="4"/>
    <x v="2"/>
    <n v="2"/>
  </r>
  <r>
    <x v="2"/>
    <x v="2"/>
    <n v="12920"/>
    <n v="26470"/>
    <n v="147"/>
    <n v="3.08"/>
    <n v="10163"/>
    <n v="29.09"/>
    <x v="3"/>
    <x v="1"/>
    <n v="1"/>
  </r>
  <r>
    <x v="2"/>
    <x v="4"/>
    <n v="89561"/>
    <n v="24017"/>
    <n v="684"/>
    <n v="3.43"/>
    <n v="19833"/>
    <n v="21.83"/>
    <x v="4"/>
    <x v="2"/>
    <n v="8"/>
  </r>
  <r>
    <x v="0"/>
    <x v="4"/>
    <n v="18946"/>
    <n v="16352"/>
    <n v="930"/>
    <n v="1.98"/>
    <n v="1441"/>
    <n v="27.68"/>
    <x v="4"/>
    <x v="0"/>
    <n v="5"/>
  </r>
  <r>
    <x v="3"/>
    <x v="4"/>
    <n v="186572"/>
    <n v="34365"/>
    <n v="396"/>
    <n v="1.23"/>
    <n v="2407"/>
    <n v="22.87"/>
    <x v="1"/>
    <x v="1"/>
    <n v="8"/>
  </r>
  <r>
    <x v="1"/>
    <x v="3"/>
    <n v="26309"/>
    <n v="20446"/>
    <n v="120"/>
    <n v="2.56"/>
    <n v="5337"/>
    <n v="17.75"/>
    <x v="1"/>
    <x v="0"/>
    <n v="3"/>
  </r>
  <r>
    <x v="2"/>
    <x v="3"/>
    <n v="65230"/>
    <n v="3336"/>
    <n v="623"/>
    <n v="1.94"/>
    <n v="14180"/>
    <n v="5.76"/>
    <x v="3"/>
    <x v="0"/>
    <n v="7"/>
  </r>
  <r>
    <x v="1"/>
    <x v="4"/>
    <n v="121822"/>
    <n v="10879"/>
    <n v="26"/>
    <n v="1.88"/>
    <n v="18127"/>
    <n v="20"/>
    <x v="2"/>
    <x v="1"/>
    <n v="8"/>
  </r>
  <r>
    <x v="3"/>
    <x v="2"/>
    <n v="171099"/>
    <n v="33316"/>
    <n v="789"/>
    <n v="4.84"/>
    <n v="6196"/>
    <n v="18.7"/>
    <x v="4"/>
    <x v="0"/>
    <n v="6"/>
  </r>
  <r>
    <x v="3"/>
    <x v="0"/>
    <n v="122340"/>
    <n v="34340"/>
    <n v="191"/>
    <n v="3.47"/>
    <n v="16726"/>
    <n v="18.07"/>
    <x v="2"/>
    <x v="0"/>
    <n v="7"/>
  </r>
  <r>
    <x v="3"/>
    <x v="2"/>
    <n v="69321"/>
    <n v="8521"/>
    <n v="893"/>
    <n v="3.23"/>
    <n v="14043"/>
    <n v="14.69"/>
    <x v="3"/>
    <x v="0"/>
    <n v="2"/>
  </r>
  <r>
    <x v="2"/>
    <x v="1"/>
    <n v="142028"/>
    <n v="7171"/>
    <n v="545"/>
    <n v="2.66"/>
    <n v="13115"/>
    <n v="15.86"/>
    <x v="3"/>
    <x v="0"/>
    <n v="8"/>
  </r>
  <r>
    <x v="3"/>
    <x v="3"/>
    <n v="84131"/>
    <n v="24481"/>
    <n v="550"/>
    <n v="2.72"/>
    <n v="1966"/>
    <n v="10.029999999999999"/>
    <x v="1"/>
    <x v="0"/>
    <n v="5"/>
  </r>
  <r>
    <x v="2"/>
    <x v="0"/>
    <n v="188980"/>
    <n v="19474"/>
    <n v="180"/>
    <n v="3.16"/>
    <n v="18850"/>
    <n v="15.58"/>
    <x v="4"/>
    <x v="0"/>
    <n v="7"/>
  </r>
  <r>
    <x v="3"/>
    <x v="0"/>
    <n v="35963"/>
    <n v="47760"/>
    <n v="418"/>
    <n v="3.79"/>
    <n v="875"/>
    <n v="5.93"/>
    <x v="0"/>
    <x v="0"/>
    <n v="1"/>
  </r>
  <r>
    <x v="1"/>
    <x v="1"/>
    <n v="111757"/>
    <n v="45629"/>
    <n v="749"/>
    <n v="3.81"/>
    <n v="762"/>
    <n v="24.16"/>
    <x v="3"/>
    <x v="0"/>
    <n v="5"/>
  </r>
  <r>
    <x v="1"/>
    <x v="1"/>
    <n v="180515"/>
    <n v="46232"/>
    <n v="387"/>
    <n v="1.69"/>
    <n v="12080"/>
    <n v="5.57"/>
    <x v="4"/>
    <x v="0"/>
    <n v="1"/>
  </r>
  <r>
    <x v="0"/>
    <x v="4"/>
    <n v="109259"/>
    <n v="22008"/>
    <n v="197"/>
    <n v="3"/>
    <n v="10636"/>
    <n v="2.5499999999999998"/>
    <x v="2"/>
    <x v="2"/>
    <n v="8"/>
  </r>
  <r>
    <x v="1"/>
    <x v="3"/>
    <n v="49063"/>
    <n v="2633"/>
    <n v="867"/>
    <n v="2.65"/>
    <n v="8333"/>
    <n v="13.09"/>
    <x v="1"/>
    <x v="2"/>
    <n v="4"/>
  </r>
  <r>
    <x v="0"/>
    <x v="3"/>
    <n v="124225"/>
    <n v="13485"/>
    <n v="239"/>
    <n v="4.4800000000000004"/>
    <n v="2393"/>
    <n v="19.75"/>
    <x v="2"/>
    <x v="0"/>
    <n v="4"/>
  </r>
  <r>
    <x v="1"/>
    <x v="2"/>
    <n v="126400"/>
    <n v="44617"/>
    <n v="842"/>
    <n v="3.53"/>
    <n v="8606"/>
    <n v="13.13"/>
    <x v="3"/>
    <x v="2"/>
    <n v="2"/>
  </r>
  <r>
    <x v="2"/>
    <x v="4"/>
    <n v="90818"/>
    <n v="4648"/>
    <n v="861"/>
    <n v="3.13"/>
    <n v="12326"/>
    <n v="8.3000000000000007"/>
    <x v="3"/>
    <x v="1"/>
    <n v="5"/>
  </r>
  <r>
    <x v="1"/>
    <x v="4"/>
    <n v="14703"/>
    <n v="48945"/>
    <n v="128"/>
    <n v="1.46"/>
    <n v="2152"/>
    <n v="16.75"/>
    <x v="2"/>
    <x v="2"/>
    <n v="1"/>
  </r>
  <r>
    <x v="0"/>
    <x v="4"/>
    <n v="82099"/>
    <n v="14140"/>
    <n v="165"/>
    <n v="3.42"/>
    <n v="1099"/>
    <n v="10.41"/>
    <x v="3"/>
    <x v="0"/>
    <n v="9"/>
  </r>
  <r>
    <x v="0"/>
    <x v="4"/>
    <n v="166921"/>
    <n v="18921"/>
    <n v="793"/>
    <n v="1.47"/>
    <n v="18796"/>
    <n v="27.99"/>
    <x v="4"/>
    <x v="0"/>
    <n v="5"/>
  </r>
  <r>
    <x v="3"/>
    <x v="3"/>
    <n v="172932"/>
    <n v="15357"/>
    <n v="696"/>
    <n v="2.35"/>
    <n v="9292"/>
    <n v="27.68"/>
    <x v="3"/>
    <x v="2"/>
    <n v="6"/>
  </r>
  <r>
    <x v="2"/>
    <x v="3"/>
    <n v="41585"/>
    <n v="47136"/>
    <n v="474"/>
    <n v="1.57"/>
    <n v="4137"/>
    <n v="15.07"/>
    <x v="1"/>
    <x v="0"/>
    <n v="2"/>
  </r>
  <r>
    <x v="1"/>
    <x v="4"/>
    <n v="163087"/>
    <n v="4137"/>
    <n v="113"/>
    <n v="3.77"/>
    <n v="10855"/>
    <n v="9.84"/>
    <x v="4"/>
    <x v="1"/>
    <n v="1"/>
  </r>
  <r>
    <x v="3"/>
    <x v="2"/>
    <n v="53585"/>
    <n v="1097"/>
    <n v="613"/>
    <n v="1.83"/>
    <n v="16489"/>
    <n v="22.11"/>
    <x v="0"/>
    <x v="1"/>
    <n v="4"/>
  </r>
  <r>
    <x v="1"/>
    <x v="0"/>
    <n v="36958"/>
    <n v="12407"/>
    <n v="707"/>
    <n v="2.57"/>
    <n v="9790"/>
    <n v="1.1000000000000001"/>
    <x v="3"/>
    <x v="0"/>
    <n v="7"/>
  </r>
  <r>
    <x v="1"/>
    <x v="0"/>
    <n v="36017"/>
    <n v="31575"/>
    <n v="981"/>
    <n v="4.58"/>
    <n v="6099"/>
    <n v="14.24"/>
    <x v="3"/>
    <x v="1"/>
    <n v="6"/>
  </r>
  <r>
    <x v="3"/>
    <x v="2"/>
    <n v="134677"/>
    <n v="13722"/>
    <n v="804"/>
    <n v="1.82"/>
    <n v="14842"/>
    <n v="10.09"/>
    <x v="1"/>
    <x v="1"/>
    <n v="1"/>
  </r>
  <r>
    <x v="3"/>
    <x v="4"/>
    <n v="186422"/>
    <n v="13924"/>
    <n v="511"/>
    <n v="3.03"/>
    <n v="14445"/>
    <n v="27.62"/>
    <x v="1"/>
    <x v="2"/>
    <n v="1"/>
  </r>
  <r>
    <x v="3"/>
    <x v="3"/>
    <n v="153273"/>
    <n v="4750"/>
    <n v="702"/>
    <n v="2.68"/>
    <n v="11262"/>
    <n v="0.36"/>
    <x v="2"/>
    <x v="1"/>
    <n v="8"/>
  </r>
  <r>
    <x v="3"/>
    <x v="0"/>
    <n v="39426"/>
    <n v="28733"/>
    <n v="691"/>
    <n v="1.07"/>
    <n v="14812"/>
    <n v="16.579999999999998"/>
    <x v="2"/>
    <x v="2"/>
    <n v="4"/>
  </r>
  <r>
    <x v="3"/>
    <x v="1"/>
    <n v="27778"/>
    <n v="9535"/>
    <n v="708"/>
    <n v="4.17"/>
    <n v="7882"/>
    <n v="22.22"/>
    <x v="2"/>
    <x v="0"/>
    <n v="5"/>
  </r>
  <r>
    <x v="1"/>
    <x v="1"/>
    <n v="186313"/>
    <n v="25487"/>
    <n v="184"/>
    <n v="1.28"/>
    <n v="9482"/>
    <n v="14.55"/>
    <x v="1"/>
    <x v="2"/>
    <n v="7"/>
  </r>
  <r>
    <x v="3"/>
    <x v="2"/>
    <n v="52229"/>
    <n v="31651"/>
    <n v="743"/>
    <n v="2.9"/>
    <n v="8207"/>
    <n v="2.56"/>
    <x v="2"/>
    <x v="0"/>
    <n v="8"/>
  </r>
  <r>
    <x v="2"/>
    <x v="4"/>
    <n v="96652"/>
    <n v="5666"/>
    <n v="754"/>
    <n v="3.24"/>
    <n v="17630"/>
    <n v="29.17"/>
    <x v="2"/>
    <x v="0"/>
    <n v="7"/>
  </r>
  <r>
    <x v="0"/>
    <x v="0"/>
    <n v="138267"/>
    <n v="49777"/>
    <n v="683"/>
    <n v="3.51"/>
    <n v="5133"/>
    <n v="15.54"/>
    <x v="0"/>
    <x v="0"/>
    <n v="2"/>
  </r>
  <r>
    <x v="3"/>
    <x v="4"/>
    <n v="189436"/>
    <n v="17994"/>
    <n v="430"/>
    <n v="3.75"/>
    <n v="17804"/>
    <n v="18.43"/>
    <x v="2"/>
    <x v="0"/>
    <n v="4"/>
  </r>
  <r>
    <x v="3"/>
    <x v="0"/>
    <n v="136503"/>
    <n v="2727"/>
    <n v="143"/>
    <n v="2.0099999999999998"/>
    <n v="9769"/>
    <n v="7.1"/>
    <x v="3"/>
    <x v="0"/>
    <n v="1"/>
  </r>
  <r>
    <x v="1"/>
    <x v="2"/>
    <n v="94878"/>
    <n v="35622"/>
    <n v="400"/>
    <n v="1.04"/>
    <n v="14278"/>
    <n v="14.5"/>
    <x v="1"/>
    <x v="2"/>
    <n v="9"/>
  </r>
  <r>
    <x v="3"/>
    <x v="2"/>
    <n v="67056"/>
    <n v="11800"/>
    <n v="745"/>
    <n v="3.89"/>
    <n v="7508"/>
    <n v="12.87"/>
    <x v="4"/>
    <x v="0"/>
    <n v="3"/>
  </r>
  <r>
    <x v="3"/>
    <x v="1"/>
    <n v="168562"/>
    <n v="38823"/>
    <n v="510"/>
    <n v="3.14"/>
    <n v="16023"/>
    <n v="2.25"/>
    <x v="0"/>
    <x v="1"/>
    <n v="3"/>
  </r>
  <r>
    <x v="3"/>
    <x v="4"/>
    <n v="29975"/>
    <n v="44039"/>
    <n v="674"/>
    <n v="4.34"/>
    <n v="19265"/>
    <n v="3.18"/>
    <x v="1"/>
    <x v="1"/>
    <n v="9"/>
  </r>
  <r>
    <x v="1"/>
    <x v="1"/>
    <n v="167795"/>
    <n v="19708"/>
    <n v="42"/>
    <n v="4.29"/>
    <n v="4118"/>
    <n v="25.12"/>
    <x v="1"/>
    <x v="0"/>
    <n v="3"/>
  </r>
  <r>
    <x v="3"/>
    <x v="4"/>
    <n v="164351"/>
    <n v="13819"/>
    <n v="64"/>
    <n v="4.37"/>
    <n v="772"/>
    <n v="7.19"/>
    <x v="3"/>
    <x v="1"/>
    <n v="8"/>
  </r>
  <r>
    <x v="0"/>
    <x v="1"/>
    <n v="152633"/>
    <n v="10369"/>
    <n v="963"/>
    <n v="2.94"/>
    <n v="13507"/>
    <n v="5.85"/>
    <x v="2"/>
    <x v="2"/>
    <n v="2"/>
  </r>
  <r>
    <x v="1"/>
    <x v="3"/>
    <n v="98397"/>
    <n v="10283"/>
    <n v="528"/>
    <n v="2.33"/>
    <n v="18657"/>
    <n v="15.15"/>
    <x v="3"/>
    <x v="2"/>
    <n v="3"/>
  </r>
  <r>
    <x v="0"/>
    <x v="3"/>
    <n v="190225"/>
    <n v="31573"/>
    <n v="765"/>
    <n v="4.17"/>
    <n v="3047"/>
    <n v="23.06"/>
    <x v="2"/>
    <x v="0"/>
    <n v="2"/>
  </r>
  <r>
    <x v="1"/>
    <x v="3"/>
    <n v="43142"/>
    <n v="14171"/>
    <n v="834"/>
    <n v="2.81"/>
    <n v="3664"/>
    <n v="1.86"/>
    <x v="2"/>
    <x v="0"/>
    <n v="1"/>
  </r>
  <r>
    <x v="3"/>
    <x v="3"/>
    <n v="36916"/>
    <n v="31933"/>
    <n v="647"/>
    <n v="1.73"/>
    <n v="14914"/>
    <n v="17.3"/>
    <x v="1"/>
    <x v="0"/>
    <n v="2"/>
  </r>
  <r>
    <x v="0"/>
    <x v="0"/>
    <n v="74324"/>
    <n v="6774"/>
    <n v="21"/>
    <n v="4.42"/>
    <n v="14827"/>
    <n v="3.58"/>
    <x v="2"/>
    <x v="1"/>
    <n v="8"/>
  </r>
  <r>
    <x v="1"/>
    <x v="3"/>
    <n v="186037"/>
    <n v="7519"/>
    <n v="537"/>
    <n v="4.53"/>
    <n v="16076"/>
    <n v="1.0900000000000001"/>
    <x v="0"/>
    <x v="1"/>
    <n v="9"/>
  </r>
  <r>
    <x v="2"/>
    <x v="2"/>
    <n v="135932"/>
    <n v="11983"/>
    <n v="729"/>
    <n v="2.87"/>
    <n v="1446"/>
    <n v="1.58"/>
    <x v="0"/>
    <x v="2"/>
    <n v="2"/>
  </r>
  <r>
    <x v="3"/>
    <x v="2"/>
    <n v="145720"/>
    <n v="31932"/>
    <n v="564"/>
    <n v="1.3"/>
    <n v="15193"/>
    <n v="25.02"/>
    <x v="0"/>
    <x v="1"/>
    <n v="7"/>
  </r>
  <r>
    <x v="1"/>
    <x v="0"/>
    <n v="176205"/>
    <n v="31798"/>
    <n v="382"/>
    <n v="2.5499999999999998"/>
    <n v="17390"/>
    <n v="3.54"/>
    <x v="1"/>
    <x v="2"/>
    <n v="5"/>
  </r>
  <r>
    <x v="2"/>
    <x v="3"/>
    <n v="191749"/>
    <n v="19133"/>
    <n v="493"/>
    <n v="4.21"/>
    <n v="16040"/>
    <n v="1.35"/>
    <x v="3"/>
    <x v="1"/>
    <n v="3"/>
  </r>
  <r>
    <x v="1"/>
    <x v="3"/>
    <n v="106059"/>
    <n v="15939"/>
    <n v="982"/>
    <n v="4.6100000000000003"/>
    <n v="7219"/>
    <n v="13.14"/>
    <x v="4"/>
    <x v="2"/>
    <n v="9"/>
  </r>
  <r>
    <x v="2"/>
    <x v="3"/>
    <n v="108317"/>
    <n v="1781"/>
    <n v="656"/>
    <n v="1.81"/>
    <n v="8935"/>
    <n v="25.32"/>
    <x v="2"/>
    <x v="0"/>
    <n v="6"/>
  </r>
  <r>
    <x v="3"/>
    <x v="1"/>
    <n v="45046"/>
    <n v="28624"/>
    <n v="237"/>
    <n v="1.27"/>
    <n v="11850"/>
    <n v="7.87"/>
    <x v="4"/>
    <x v="1"/>
    <n v="1"/>
  </r>
  <r>
    <x v="0"/>
    <x v="4"/>
    <n v="188136"/>
    <n v="7823"/>
    <n v="632"/>
    <n v="4.51"/>
    <n v="4090"/>
    <n v="12.65"/>
    <x v="3"/>
    <x v="2"/>
    <n v="5"/>
  </r>
  <r>
    <x v="2"/>
    <x v="1"/>
    <n v="111459"/>
    <n v="19489"/>
    <n v="316"/>
    <n v="2.56"/>
    <n v="10564"/>
    <n v="1.2"/>
    <x v="3"/>
    <x v="1"/>
    <n v="7"/>
  </r>
  <r>
    <x v="1"/>
    <x v="4"/>
    <n v="55893"/>
    <n v="40961"/>
    <n v="466"/>
    <n v="3.17"/>
    <n v="18076"/>
    <n v="13.47"/>
    <x v="1"/>
    <x v="0"/>
    <n v="4"/>
  </r>
  <r>
    <x v="3"/>
    <x v="3"/>
    <n v="111520"/>
    <n v="30118"/>
    <n v="169"/>
    <n v="4.87"/>
    <n v="18348"/>
    <n v="17.329999999999998"/>
    <x v="0"/>
    <x v="2"/>
    <n v="8"/>
  </r>
  <r>
    <x v="2"/>
    <x v="3"/>
    <n v="135818"/>
    <n v="35881"/>
    <n v="340"/>
    <n v="1.27"/>
    <n v="890"/>
    <n v="17.13"/>
    <x v="0"/>
    <x v="1"/>
    <n v="5"/>
  </r>
  <r>
    <x v="1"/>
    <x v="1"/>
    <n v="71272"/>
    <n v="17280"/>
    <n v="785"/>
    <n v="3.59"/>
    <n v="13168"/>
    <n v="9.9700000000000006"/>
    <x v="3"/>
    <x v="1"/>
    <n v="9"/>
  </r>
  <r>
    <x v="1"/>
    <x v="1"/>
    <n v="77649"/>
    <n v="23263"/>
    <n v="234"/>
    <n v="1.3"/>
    <n v="12069"/>
    <n v="9.4700000000000006"/>
    <x v="1"/>
    <x v="0"/>
    <n v="9"/>
  </r>
  <r>
    <x v="1"/>
    <x v="4"/>
    <n v="74674"/>
    <n v="14565"/>
    <n v="992"/>
    <n v="2.5"/>
    <n v="13529"/>
    <n v="3.2"/>
    <x v="1"/>
    <x v="0"/>
    <n v="9"/>
  </r>
  <r>
    <x v="2"/>
    <x v="2"/>
    <n v="154832"/>
    <n v="21354"/>
    <n v="738"/>
    <n v="4.22"/>
    <n v="13607"/>
    <n v="11"/>
    <x v="2"/>
    <x v="2"/>
    <n v="1"/>
  </r>
  <r>
    <x v="2"/>
    <x v="4"/>
    <n v="162999"/>
    <n v="43951"/>
    <n v="513"/>
    <n v="2.73"/>
    <n v="3060"/>
    <n v="2.98"/>
    <x v="0"/>
    <x v="1"/>
    <n v="2"/>
  </r>
  <r>
    <x v="2"/>
    <x v="1"/>
    <n v="96475"/>
    <n v="26643"/>
    <n v="465"/>
    <n v="4.99"/>
    <n v="6367"/>
    <n v="23"/>
    <x v="3"/>
    <x v="1"/>
    <n v="3"/>
  </r>
  <r>
    <x v="0"/>
    <x v="1"/>
    <n v="71367"/>
    <n v="24648"/>
    <n v="54"/>
    <n v="3.24"/>
    <n v="15784"/>
    <n v="28.99"/>
    <x v="4"/>
    <x v="0"/>
    <n v="4"/>
  </r>
  <r>
    <x v="2"/>
    <x v="0"/>
    <n v="153660"/>
    <n v="42971"/>
    <n v="223"/>
    <n v="2.2799999999999998"/>
    <n v="1711"/>
    <n v="29.1"/>
    <x v="0"/>
    <x v="0"/>
    <n v="9"/>
  </r>
  <r>
    <x v="2"/>
    <x v="1"/>
    <n v="131750"/>
    <n v="19658"/>
    <n v="68"/>
    <n v="1.88"/>
    <n v="9621"/>
    <n v="25.95"/>
    <x v="2"/>
    <x v="2"/>
    <n v="6"/>
  </r>
  <r>
    <x v="2"/>
    <x v="0"/>
    <n v="128154"/>
    <n v="22253"/>
    <n v="653"/>
    <n v="2.4"/>
    <n v="2039"/>
    <n v="18.02"/>
    <x v="1"/>
    <x v="1"/>
    <n v="1"/>
  </r>
  <r>
    <x v="0"/>
    <x v="2"/>
    <n v="193305"/>
    <n v="49563"/>
    <n v="625"/>
    <n v="2.4900000000000002"/>
    <n v="17527"/>
    <n v="21.03"/>
    <x v="3"/>
    <x v="1"/>
    <n v="9"/>
  </r>
  <r>
    <x v="2"/>
    <x v="4"/>
    <n v="54738"/>
    <n v="27390"/>
    <n v="204"/>
    <n v="1.27"/>
    <n v="9193"/>
    <n v="8.56"/>
    <x v="0"/>
    <x v="2"/>
    <n v="6"/>
  </r>
  <r>
    <x v="1"/>
    <x v="4"/>
    <n v="43397"/>
    <n v="24128"/>
    <n v="934"/>
    <n v="2.48"/>
    <n v="9421"/>
    <n v="18.920000000000002"/>
    <x v="4"/>
    <x v="2"/>
    <n v="4"/>
  </r>
  <r>
    <x v="2"/>
    <x v="0"/>
    <n v="92189"/>
    <n v="14489"/>
    <n v="498"/>
    <n v="2.86"/>
    <n v="18167"/>
    <n v="13.67"/>
    <x v="2"/>
    <x v="0"/>
    <n v="4"/>
  </r>
  <r>
    <x v="1"/>
    <x v="4"/>
    <n v="86367"/>
    <n v="39314"/>
    <n v="166"/>
    <n v="3.89"/>
    <n v="10810"/>
    <n v="14.46"/>
    <x v="2"/>
    <x v="0"/>
    <n v="3"/>
  </r>
  <r>
    <x v="1"/>
    <x v="1"/>
    <n v="130585"/>
    <n v="33658"/>
    <n v="619"/>
    <n v="3.63"/>
    <n v="13244"/>
    <n v="22.73"/>
    <x v="0"/>
    <x v="2"/>
    <n v="7"/>
  </r>
  <r>
    <x v="1"/>
    <x v="3"/>
    <n v="86619"/>
    <n v="7852"/>
    <n v="235"/>
    <n v="3.84"/>
    <n v="4886"/>
    <n v="8.4600000000000009"/>
    <x v="4"/>
    <x v="2"/>
    <n v="3"/>
  </r>
  <r>
    <x v="0"/>
    <x v="0"/>
    <n v="121453"/>
    <n v="30450"/>
    <n v="421"/>
    <n v="1.03"/>
    <n v="17803"/>
    <n v="9.5399999999999991"/>
    <x v="2"/>
    <x v="1"/>
    <n v="2"/>
  </r>
  <r>
    <x v="0"/>
    <x v="4"/>
    <n v="29816"/>
    <n v="3551"/>
    <n v="214"/>
    <n v="1.87"/>
    <n v="12742"/>
    <n v="27.74"/>
    <x v="3"/>
    <x v="2"/>
    <n v="8"/>
  </r>
  <r>
    <x v="0"/>
    <x v="0"/>
    <n v="183312"/>
    <n v="7411"/>
    <n v="88"/>
    <n v="3.65"/>
    <n v="19223"/>
    <n v="1.69"/>
    <x v="2"/>
    <x v="2"/>
    <n v="4"/>
  </r>
  <r>
    <x v="2"/>
    <x v="0"/>
    <n v="147348"/>
    <n v="34243"/>
    <n v="133"/>
    <n v="2.94"/>
    <n v="14757"/>
    <n v="14.57"/>
    <x v="4"/>
    <x v="1"/>
    <n v="8"/>
  </r>
  <r>
    <x v="1"/>
    <x v="3"/>
    <n v="89530"/>
    <n v="22800"/>
    <n v="480"/>
    <n v="1.02"/>
    <n v="9447"/>
    <n v="27.38"/>
    <x v="1"/>
    <x v="2"/>
    <n v="1"/>
  </r>
  <r>
    <x v="0"/>
    <x v="1"/>
    <n v="164571"/>
    <n v="11403"/>
    <n v="949"/>
    <n v="4.22"/>
    <n v="14446"/>
    <n v="18.309999999999999"/>
    <x v="1"/>
    <x v="0"/>
    <n v="5"/>
  </r>
  <r>
    <x v="0"/>
    <x v="0"/>
    <n v="118856"/>
    <n v="8239"/>
    <n v="227"/>
    <n v="4.09"/>
    <n v="6430"/>
    <n v="16.39"/>
    <x v="0"/>
    <x v="0"/>
    <n v="9"/>
  </r>
  <r>
    <x v="2"/>
    <x v="4"/>
    <n v="81635"/>
    <n v="7710"/>
    <n v="525"/>
    <n v="3.19"/>
    <n v="5902"/>
    <n v="7.49"/>
    <x v="4"/>
    <x v="1"/>
    <n v="1"/>
  </r>
  <r>
    <x v="0"/>
    <x v="2"/>
    <n v="117803"/>
    <n v="22384"/>
    <n v="611"/>
    <n v="1.27"/>
    <n v="16517"/>
    <n v="10.3"/>
    <x v="2"/>
    <x v="2"/>
    <n v="4"/>
  </r>
  <r>
    <x v="2"/>
    <x v="0"/>
    <n v="45946"/>
    <n v="22038"/>
    <n v="113"/>
    <n v="4.07"/>
    <n v="1007"/>
    <n v="25.56"/>
    <x v="2"/>
    <x v="0"/>
    <n v="6"/>
  </r>
  <r>
    <x v="3"/>
    <x v="0"/>
    <n v="65204"/>
    <n v="41846"/>
    <n v="402"/>
    <n v="3.33"/>
    <n v="1936"/>
    <n v="16.78"/>
    <x v="1"/>
    <x v="0"/>
    <n v="8"/>
  </r>
  <r>
    <x v="0"/>
    <x v="3"/>
    <n v="192958"/>
    <n v="23447"/>
    <n v="640"/>
    <n v="4.13"/>
    <n v="12118"/>
    <n v="15.44"/>
    <x v="1"/>
    <x v="0"/>
    <n v="3"/>
  </r>
  <r>
    <x v="3"/>
    <x v="1"/>
    <n v="25563"/>
    <n v="3285"/>
    <n v="654"/>
    <n v="4.01"/>
    <n v="9250"/>
    <n v="2.99"/>
    <x v="3"/>
    <x v="0"/>
    <n v="5"/>
  </r>
  <r>
    <x v="2"/>
    <x v="2"/>
    <n v="102324"/>
    <n v="38991"/>
    <n v="833"/>
    <n v="4.21"/>
    <n v="16622"/>
    <n v="0.48"/>
    <x v="1"/>
    <x v="2"/>
    <n v="7"/>
  </r>
  <r>
    <x v="1"/>
    <x v="4"/>
    <n v="19847"/>
    <n v="14521"/>
    <n v="617"/>
    <n v="3.07"/>
    <n v="7854"/>
    <n v="28.91"/>
    <x v="3"/>
    <x v="2"/>
    <n v="1"/>
  </r>
  <r>
    <x v="0"/>
    <x v="2"/>
    <n v="36155"/>
    <n v="48657"/>
    <n v="989"/>
    <n v="1.56"/>
    <n v="11794"/>
    <n v="11.31"/>
    <x v="2"/>
    <x v="2"/>
    <n v="7"/>
  </r>
  <r>
    <x v="2"/>
    <x v="4"/>
    <n v="89671"/>
    <n v="7971"/>
    <n v="443"/>
    <n v="3.68"/>
    <n v="14340"/>
    <n v="18.100000000000001"/>
    <x v="3"/>
    <x v="2"/>
    <n v="8"/>
  </r>
  <r>
    <x v="1"/>
    <x v="1"/>
    <n v="126891"/>
    <n v="30139"/>
    <n v="340"/>
    <n v="3.48"/>
    <n v="4899"/>
    <n v="2.39"/>
    <x v="3"/>
    <x v="0"/>
    <n v="8"/>
  </r>
  <r>
    <x v="1"/>
    <x v="4"/>
    <n v="93310"/>
    <n v="20909"/>
    <n v="152"/>
    <n v="3.97"/>
    <n v="5537"/>
    <n v="20.49"/>
    <x v="0"/>
    <x v="1"/>
    <n v="9"/>
  </r>
  <r>
    <x v="3"/>
    <x v="3"/>
    <n v="159381"/>
    <n v="12531"/>
    <n v="809"/>
    <n v="1.68"/>
    <n v="16348"/>
    <n v="27.98"/>
    <x v="1"/>
    <x v="1"/>
    <n v="6"/>
  </r>
  <r>
    <x v="2"/>
    <x v="3"/>
    <n v="141691"/>
    <n v="15721"/>
    <n v="549"/>
    <n v="1.78"/>
    <n v="4215"/>
    <n v="17.27"/>
    <x v="3"/>
    <x v="0"/>
    <n v="6"/>
  </r>
  <r>
    <x v="1"/>
    <x v="3"/>
    <n v="191180"/>
    <n v="20206"/>
    <n v="287"/>
    <n v="4.5599999999999996"/>
    <n v="15377"/>
    <n v="3.78"/>
    <x v="2"/>
    <x v="0"/>
    <n v="2"/>
  </r>
  <r>
    <x v="0"/>
    <x v="3"/>
    <n v="44707"/>
    <n v="38711"/>
    <n v="242"/>
    <n v="4"/>
    <n v="8337"/>
    <n v="17.45"/>
    <x v="4"/>
    <x v="1"/>
    <n v="3"/>
  </r>
  <r>
    <x v="0"/>
    <x v="2"/>
    <n v="161409"/>
    <n v="7530"/>
    <n v="538"/>
    <n v="4.63"/>
    <n v="1801"/>
    <n v="22.99"/>
    <x v="3"/>
    <x v="1"/>
    <n v="4"/>
  </r>
  <r>
    <x v="3"/>
    <x v="1"/>
    <n v="91537"/>
    <n v="12116"/>
    <n v="580"/>
    <n v="4.03"/>
    <n v="7870"/>
    <n v="12.19"/>
    <x v="1"/>
    <x v="0"/>
    <n v="4"/>
  </r>
  <r>
    <x v="1"/>
    <x v="4"/>
    <n v="188686"/>
    <n v="1258"/>
    <n v="99"/>
    <n v="3.39"/>
    <n v="19039"/>
    <n v="26.4"/>
    <x v="0"/>
    <x v="0"/>
    <n v="8"/>
  </r>
  <r>
    <x v="2"/>
    <x v="4"/>
    <n v="101155"/>
    <n v="1282"/>
    <n v="501"/>
    <n v="3.62"/>
    <n v="6911"/>
    <n v="19.46"/>
    <x v="2"/>
    <x v="2"/>
    <n v="1"/>
  </r>
  <r>
    <x v="0"/>
    <x v="3"/>
    <n v="10281"/>
    <n v="14937"/>
    <n v="208"/>
    <n v="4.5599999999999996"/>
    <n v="6865"/>
    <n v="26.98"/>
    <x v="0"/>
    <x v="2"/>
    <n v="4"/>
  </r>
  <r>
    <x v="1"/>
    <x v="3"/>
    <n v="168492"/>
    <n v="2898"/>
    <n v="371"/>
    <n v="3.32"/>
    <n v="15949"/>
    <n v="18.71"/>
    <x v="4"/>
    <x v="1"/>
    <n v="4"/>
  </r>
  <r>
    <x v="1"/>
    <x v="0"/>
    <n v="180102"/>
    <n v="5135"/>
    <n v="450"/>
    <n v="3.53"/>
    <n v="1192"/>
    <n v="3.94"/>
    <x v="3"/>
    <x v="0"/>
    <n v="1"/>
  </r>
  <r>
    <x v="3"/>
    <x v="1"/>
    <n v="142130"/>
    <n v="7629"/>
    <n v="35"/>
    <n v="1.63"/>
    <n v="1978"/>
    <n v="9.2899999999999991"/>
    <x v="3"/>
    <x v="1"/>
    <n v="3"/>
  </r>
  <r>
    <x v="0"/>
    <x v="2"/>
    <n v="86260"/>
    <n v="44936"/>
    <n v="34"/>
    <n v="2.9"/>
    <n v="6896"/>
    <n v="6.05"/>
    <x v="1"/>
    <x v="2"/>
    <n v="5"/>
  </r>
  <r>
    <x v="0"/>
    <x v="4"/>
    <n v="169476"/>
    <n v="20584"/>
    <n v="403"/>
    <n v="3.87"/>
    <n v="8948"/>
    <n v="27.26"/>
    <x v="3"/>
    <x v="2"/>
    <n v="6"/>
  </r>
  <r>
    <x v="2"/>
    <x v="0"/>
    <n v="170928"/>
    <n v="24551"/>
    <n v="516"/>
    <n v="2.08"/>
    <n v="11122"/>
    <n v="22.81"/>
    <x v="2"/>
    <x v="1"/>
    <n v="9"/>
  </r>
  <r>
    <x v="0"/>
    <x v="0"/>
    <n v="150272"/>
    <n v="34380"/>
    <n v="310"/>
    <n v="1.81"/>
    <n v="17325"/>
    <n v="20.29"/>
    <x v="4"/>
    <x v="2"/>
    <n v="9"/>
  </r>
  <r>
    <x v="2"/>
    <x v="4"/>
    <n v="74178"/>
    <n v="47971"/>
    <n v="348"/>
    <n v="2.2599999999999998"/>
    <n v="10573"/>
    <n v="9.0299999999999994"/>
    <x v="0"/>
    <x v="0"/>
    <n v="9"/>
  </r>
  <r>
    <x v="0"/>
    <x v="2"/>
    <n v="43997"/>
    <n v="18071"/>
    <n v="276"/>
    <n v="1.97"/>
    <n v="3146"/>
    <n v="5.52"/>
    <x v="4"/>
    <x v="1"/>
    <n v="1"/>
  </r>
  <r>
    <x v="3"/>
    <x v="0"/>
    <n v="166683"/>
    <n v="21074"/>
    <n v="470"/>
    <n v="1.86"/>
    <n v="5709"/>
    <n v="22.69"/>
    <x v="3"/>
    <x v="0"/>
    <n v="9"/>
  </r>
  <r>
    <x v="0"/>
    <x v="0"/>
    <n v="129273"/>
    <n v="26188"/>
    <n v="702"/>
    <n v="2.7"/>
    <n v="7033"/>
    <n v="14.22"/>
    <x v="0"/>
    <x v="0"/>
    <n v="8"/>
  </r>
  <r>
    <x v="2"/>
    <x v="1"/>
    <n v="182307"/>
    <n v="3307"/>
    <n v="465"/>
    <n v="4.63"/>
    <n v="7711"/>
    <n v="6.77"/>
    <x v="1"/>
    <x v="2"/>
    <n v="2"/>
  </r>
  <r>
    <x v="2"/>
    <x v="2"/>
    <n v="176129"/>
    <n v="40901"/>
    <n v="369"/>
    <n v="3.03"/>
    <n v="10427"/>
    <n v="18.5"/>
    <x v="4"/>
    <x v="0"/>
    <n v="1"/>
  </r>
  <r>
    <x v="3"/>
    <x v="0"/>
    <n v="142311"/>
    <n v="12205"/>
    <n v="77"/>
    <n v="1.75"/>
    <n v="12427"/>
    <n v="1.21"/>
    <x v="0"/>
    <x v="1"/>
    <n v="1"/>
  </r>
  <r>
    <x v="0"/>
    <x v="2"/>
    <n v="136945"/>
    <n v="6906"/>
    <n v="872"/>
    <n v="1.31"/>
    <n v="19529"/>
    <n v="9.7899999999999991"/>
    <x v="0"/>
    <x v="0"/>
    <n v="6"/>
  </r>
  <r>
    <x v="0"/>
    <x v="4"/>
    <n v="55272"/>
    <n v="3591"/>
    <n v="421"/>
    <n v="3.78"/>
    <n v="9816"/>
    <n v="14.06"/>
    <x v="0"/>
    <x v="0"/>
    <n v="9"/>
  </r>
  <r>
    <x v="3"/>
    <x v="3"/>
    <n v="99393"/>
    <n v="16149"/>
    <n v="980"/>
    <n v="2.5299999999999998"/>
    <n v="12677"/>
    <n v="4.4400000000000004"/>
    <x v="2"/>
    <x v="0"/>
    <n v="7"/>
  </r>
  <r>
    <x v="0"/>
    <x v="0"/>
    <n v="71212"/>
    <n v="45918"/>
    <n v="500"/>
    <n v="4.29"/>
    <n v="11346"/>
    <n v="29.54"/>
    <x v="4"/>
    <x v="0"/>
    <n v="5"/>
  </r>
  <r>
    <x v="0"/>
    <x v="1"/>
    <n v="156470"/>
    <n v="40951"/>
    <n v="842"/>
    <n v="3.64"/>
    <n v="8433"/>
    <n v="6.27"/>
    <x v="0"/>
    <x v="0"/>
    <n v="2"/>
  </r>
  <r>
    <x v="2"/>
    <x v="4"/>
    <n v="130030"/>
    <n v="26150"/>
    <n v="58"/>
    <n v="4.18"/>
    <n v="5976"/>
    <n v="3.91"/>
    <x v="4"/>
    <x v="2"/>
    <n v="1"/>
  </r>
  <r>
    <x v="0"/>
    <x v="2"/>
    <n v="66503"/>
    <n v="32852"/>
    <n v="696"/>
    <n v="2.09"/>
    <n v="14353"/>
    <n v="6.11"/>
    <x v="0"/>
    <x v="1"/>
    <n v="2"/>
  </r>
  <r>
    <x v="0"/>
    <x v="4"/>
    <n v="147710"/>
    <n v="43870"/>
    <n v="573"/>
    <n v="3.77"/>
    <n v="8428"/>
    <n v="23.07"/>
    <x v="1"/>
    <x v="2"/>
    <n v="1"/>
  </r>
  <r>
    <x v="3"/>
    <x v="0"/>
    <n v="16570"/>
    <n v="2283"/>
    <n v="111"/>
    <n v="2.06"/>
    <n v="2580"/>
    <n v="12.77"/>
    <x v="1"/>
    <x v="1"/>
    <n v="3"/>
  </r>
  <r>
    <x v="3"/>
    <x v="2"/>
    <n v="78785"/>
    <n v="34691"/>
    <n v="225"/>
    <n v="4.76"/>
    <n v="6589"/>
    <n v="16.96"/>
    <x v="1"/>
    <x v="1"/>
    <n v="6"/>
  </r>
  <r>
    <x v="1"/>
    <x v="3"/>
    <n v="19110"/>
    <n v="2125"/>
    <n v="447"/>
    <n v="3.55"/>
    <n v="8297"/>
    <n v="0.63"/>
    <x v="3"/>
    <x v="1"/>
    <n v="8"/>
  </r>
  <r>
    <x v="2"/>
    <x v="4"/>
    <n v="89141"/>
    <n v="2529"/>
    <n v="709"/>
    <n v="2.2999999999999998"/>
    <n v="17745"/>
    <n v="1.03"/>
    <x v="0"/>
    <x v="1"/>
    <n v="3"/>
  </r>
  <r>
    <x v="0"/>
    <x v="0"/>
    <n v="22115"/>
    <n v="27170"/>
    <n v="578"/>
    <n v="2.08"/>
    <n v="8846"/>
    <n v="13.37"/>
    <x v="3"/>
    <x v="1"/>
    <n v="9"/>
  </r>
  <r>
    <x v="0"/>
    <x v="1"/>
    <n v="49062"/>
    <n v="9438"/>
    <n v="568"/>
    <n v="1.76"/>
    <n v="1404"/>
    <n v="24.5"/>
    <x v="4"/>
    <x v="0"/>
    <n v="5"/>
  </r>
  <r>
    <x v="1"/>
    <x v="2"/>
    <n v="32911"/>
    <n v="21095"/>
    <n v="168"/>
    <n v="3.78"/>
    <n v="18153"/>
    <n v="26.56"/>
    <x v="3"/>
    <x v="2"/>
    <n v="7"/>
  </r>
  <r>
    <x v="0"/>
    <x v="4"/>
    <n v="114061"/>
    <n v="17154"/>
    <n v="498"/>
    <n v="1.87"/>
    <n v="17288"/>
    <n v="2.6"/>
    <x v="4"/>
    <x v="2"/>
    <n v="8"/>
  </r>
  <r>
    <x v="2"/>
    <x v="4"/>
    <n v="42556"/>
    <n v="9004"/>
    <n v="695"/>
    <n v="3.38"/>
    <n v="10474"/>
    <n v="16.149999999999999"/>
    <x v="4"/>
    <x v="0"/>
    <n v="3"/>
  </r>
  <r>
    <x v="1"/>
    <x v="3"/>
    <n v="138335"/>
    <n v="10752"/>
    <n v="251"/>
    <n v="2.06"/>
    <n v="1684"/>
    <n v="27.4"/>
    <x v="4"/>
    <x v="1"/>
    <n v="2"/>
  </r>
  <r>
    <x v="2"/>
    <x v="3"/>
    <n v="11969"/>
    <n v="44360"/>
    <n v="803"/>
    <n v="3.65"/>
    <n v="2225"/>
    <n v="11.64"/>
    <x v="3"/>
    <x v="2"/>
    <n v="2"/>
  </r>
  <r>
    <x v="1"/>
    <x v="1"/>
    <n v="53753"/>
    <n v="27819"/>
    <n v="762"/>
    <n v="4.26"/>
    <n v="11880"/>
    <n v="24.89"/>
    <x v="0"/>
    <x v="0"/>
    <n v="5"/>
  </r>
  <r>
    <x v="1"/>
    <x v="1"/>
    <n v="145542"/>
    <n v="37632"/>
    <n v="891"/>
    <n v="4.1100000000000003"/>
    <n v="13557"/>
    <n v="4.01"/>
    <x v="3"/>
    <x v="0"/>
    <n v="1"/>
  </r>
  <r>
    <x v="3"/>
    <x v="0"/>
    <n v="131863"/>
    <n v="27515"/>
    <n v="14"/>
    <n v="4.04"/>
    <n v="6106"/>
    <n v="28.06"/>
    <x v="0"/>
    <x v="2"/>
    <n v="2"/>
  </r>
  <r>
    <x v="2"/>
    <x v="0"/>
    <n v="20225"/>
    <n v="25217"/>
    <n v="605"/>
    <n v="1.75"/>
    <n v="4456"/>
    <n v="22.54"/>
    <x v="0"/>
    <x v="2"/>
    <n v="9"/>
  </r>
  <r>
    <x v="0"/>
    <x v="1"/>
    <n v="133008"/>
    <n v="24172"/>
    <n v="829"/>
    <n v="1.35"/>
    <n v="17055"/>
    <n v="28.24"/>
    <x v="4"/>
    <x v="1"/>
    <n v="7"/>
  </r>
  <r>
    <x v="0"/>
    <x v="1"/>
    <n v="164268"/>
    <n v="33994"/>
    <n v="370"/>
    <n v="3.8"/>
    <n v="19190"/>
    <n v="20.3"/>
    <x v="3"/>
    <x v="1"/>
    <n v="6"/>
  </r>
  <r>
    <x v="2"/>
    <x v="2"/>
    <n v="115823"/>
    <n v="16036"/>
    <n v="468"/>
    <n v="2.4700000000000002"/>
    <n v="16581"/>
    <n v="10.9"/>
    <x v="0"/>
    <x v="2"/>
    <n v="9"/>
  </r>
  <r>
    <x v="0"/>
    <x v="3"/>
    <n v="23669"/>
    <n v="12739"/>
    <n v="257"/>
    <n v="2.73"/>
    <n v="921"/>
    <n v="28.15"/>
    <x v="1"/>
    <x v="1"/>
    <n v="7"/>
  </r>
  <r>
    <x v="0"/>
    <x v="0"/>
    <n v="178452"/>
    <n v="33220"/>
    <n v="575"/>
    <n v="1.1200000000000001"/>
    <n v="6040"/>
    <n v="8.27"/>
    <x v="0"/>
    <x v="0"/>
    <n v="5"/>
  </r>
  <r>
    <x v="2"/>
    <x v="3"/>
    <n v="134398"/>
    <n v="10587"/>
    <n v="682"/>
    <n v="2.04"/>
    <n v="16788"/>
    <n v="9.9700000000000006"/>
    <x v="1"/>
    <x v="1"/>
    <n v="9"/>
  </r>
  <r>
    <x v="1"/>
    <x v="3"/>
    <n v="120677"/>
    <n v="45517"/>
    <n v="955"/>
    <n v="1.1299999999999999"/>
    <n v="16466"/>
    <n v="21.02"/>
    <x v="3"/>
    <x v="1"/>
    <n v="6"/>
  </r>
  <r>
    <x v="2"/>
    <x v="1"/>
    <n v="58320"/>
    <n v="31129"/>
    <n v="431"/>
    <n v="4.5199999999999996"/>
    <n v="16382"/>
    <n v="22.96"/>
    <x v="3"/>
    <x v="0"/>
    <n v="6"/>
  </r>
  <r>
    <x v="1"/>
    <x v="2"/>
    <n v="188486"/>
    <n v="1645"/>
    <n v="932"/>
    <n v="1.97"/>
    <n v="5175"/>
    <n v="27.88"/>
    <x v="3"/>
    <x v="1"/>
    <n v="4"/>
  </r>
  <r>
    <x v="0"/>
    <x v="4"/>
    <n v="156649"/>
    <n v="31930"/>
    <n v="747"/>
    <n v="3.23"/>
    <n v="9582"/>
    <n v="6.14"/>
    <x v="0"/>
    <x v="0"/>
    <n v="1"/>
  </r>
  <r>
    <x v="0"/>
    <x v="2"/>
    <n v="135354"/>
    <n v="17299"/>
    <n v="24"/>
    <n v="1.1599999999999999"/>
    <n v="13509"/>
    <n v="23.94"/>
    <x v="2"/>
    <x v="1"/>
    <n v="5"/>
  </r>
  <r>
    <x v="0"/>
    <x v="2"/>
    <n v="98009"/>
    <n v="31090"/>
    <n v="745"/>
    <n v="3.67"/>
    <n v="7248"/>
    <n v="22.16"/>
    <x v="0"/>
    <x v="2"/>
    <n v="9"/>
  </r>
  <r>
    <x v="3"/>
    <x v="3"/>
    <n v="196481"/>
    <n v="22953"/>
    <n v="582"/>
    <n v="2.29"/>
    <n v="6603"/>
    <n v="1.91"/>
    <x v="0"/>
    <x v="1"/>
    <n v="8"/>
  </r>
  <r>
    <x v="1"/>
    <x v="2"/>
    <n v="38625"/>
    <n v="47443"/>
    <n v="131"/>
    <n v="4.59"/>
    <n v="18357"/>
    <n v="11.62"/>
    <x v="4"/>
    <x v="2"/>
    <n v="8"/>
  </r>
  <r>
    <x v="3"/>
    <x v="0"/>
    <n v="34089"/>
    <n v="27475"/>
    <n v="286"/>
    <n v="4.55"/>
    <n v="19065"/>
    <n v="8.48"/>
    <x v="4"/>
    <x v="2"/>
    <n v="5"/>
  </r>
  <r>
    <x v="3"/>
    <x v="3"/>
    <n v="46487"/>
    <n v="19888"/>
    <n v="567"/>
    <n v="2.2999999999999998"/>
    <n v="19980"/>
    <n v="9.1300000000000008"/>
    <x v="0"/>
    <x v="2"/>
    <n v="9"/>
  </r>
  <r>
    <x v="2"/>
    <x v="0"/>
    <n v="120448"/>
    <n v="44732"/>
    <n v="462"/>
    <n v="4.5999999999999996"/>
    <n v="11848"/>
    <n v="29.49"/>
    <x v="1"/>
    <x v="2"/>
    <n v="3"/>
  </r>
  <r>
    <x v="3"/>
    <x v="4"/>
    <n v="60138"/>
    <n v="17087"/>
    <n v="399"/>
    <n v="4.9800000000000004"/>
    <n v="10282"/>
    <n v="19.28"/>
    <x v="4"/>
    <x v="2"/>
    <n v="3"/>
  </r>
  <r>
    <x v="2"/>
    <x v="3"/>
    <n v="183895"/>
    <n v="47305"/>
    <n v="303"/>
    <n v="4.3"/>
    <n v="6382"/>
    <n v="21.53"/>
    <x v="0"/>
    <x v="0"/>
    <n v="1"/>
  </r>
  <r>
    <x v="2"/>
    <x v="4"/>
    <n v="178280"/>
    <n v="47037"/>
    <n v="583"/>
    <n v="4.38"/>
    <n v="6298"/>
    <n v="29.3"/>
    <x v="2"/>
    <x v="0"/>
    <n v="9"/>
  </r>
  <r>
    <x v="3"/>
    <x v="3"/>
    <n v="64061"/>
    <n v="10346"/>
    <n v="607"/>
    <n v="2"/>
    <n v="10127"/>
    <n v="11.32"/>
    <x v="1"/>
    <x v="0"/>
    <n v="6"/>
  </r>
  <r>
    <x v="1"/>
    <x v="1"/>
    <n v="171731"/>
    <n v="1587"/>
    <n v="455"/>
    <n v="3.31"/>
    <n v="8915"/>
    <n v="24.06"/>
    <x v="3"/>
    <x v="2"/>
    <n v="2"/>
  </r>
  <r>
    <x v="1"/>
    <x v="2"/>
    <n v="111376"/>
    <n v="13763"/>
    <n v="219"/>
    <n v="1.27"/>
    <n v="12966"/>
    <n v="13.04"/>
    <x v="0"/>
    <x v="1"/>
    <n v="8"/>
  </r>
  <r>
    <x v="1"/>
    <x v="1"/>
    <n v="172962"/>
    <n v="42945"/>
    <n v="599"/>
    <n v="1.38"/>
    <n v="10346"/>
    <n v="26.09"/>
    <x v="0"/>
    <x v="0"/>
    <n v="9"/>
  </r>
  <r>
    <x v="1"/>
    <x v="4"/>
    <n v="89134"/>
    <n v="5079"/>
    <n v="723"/>
    <n v="5"/>
    <n v="13220"/>
    <n v="5.42"/>
    <x v="1"/>
    <x v="1"/>
    <n v="9"/>
  </r>
  <r>
    <x v="1"/>
    <x v="2"/>
    <n v="57055"/>
    <n v="37116"/>
    <n v="311"/>
    <n v="2.31"/>
    <n v="9645"/>
    <n v="28.43"/>
    <x v="4"/>
    <x v="1"/>
    <n v="2"/>
  </r>
  <r>
    <x v="3"/>
    <x v="3"/>
    <n v="29508"/>
    <n v="21215"/>
    <n v="918"/>
    <n v="3.99"/>
    <n v="5024"/>
    <n v="6.56"/>
    <x v="4"/>
    <x v="2"/>
    <n v="2"/>
  </r>
  <r>
    <x v="3"/>
    <x v="2"/>
    <n v="183359"/>
    <n v="26817"/>
    <n v="232"/>
    <n v="4.2300000000000004"/>
    <n v="7059"/>
    <n v="9.7899999999999991"/>
    <x v="4"/>
    <x v="2"/>
    <n v="7"/>
  </r>
  <r>
    <x v="0"/>
    <x v="0"/>
    <n v="168056"/>
    <n v="25765"/>
    <n v="743"/>
    <n v="4.43"/>
    <n v="8120"/>
    <n v="22.69"/>
    <x v="3"/>
    <x v="2"/>
    <n v="4"/>
  </r>
  <r>
    <x v="1"/>
    <x v="2"/>
    <n v="120169"/>
    <n v="31112"/>
    <n v="12"/>
    <n v="4.99"/>
    <n v="19658"/>
    <n v="11.81"/>
    <x v="1"/>
    <x v="0"/>
    <n v="1"/>
  </r>
  <r>
    <x v="3"/>
    <x v="0"/>
    <n v="18125"/>
    <n v="26556"/>
    <n v="999"/>
    <n v="1.97"/>
    <n v="3624"/>
    <n v="18.25"/>
    <x v="1"/>
    <x v="2"/>
    <n v="8"/>
  </r>
  <r>
    <x v="0"/>
    <x v="2"/>
    <n v="46059"/>
    <n v="19099"/>
    <n v="527"/>
    <n v="1.1599999999999999"/>
    <n v="9171"/>
    <n v="13.34"/>
    <x v="4"/>
    <x v="0"/>
    <n v="2"/>
  </r>
  <r>
    <x v="1"/>
    <x v="0"/>
    <n v="113409"/>
    <n v="44553"/>
    <n v="102"/>
    <n v="2.64"/>
    <n v="12206"/>
    <n v="22.27"/>
    <x v="4"/>
    <x v="0"/>
    <n v="3"/>
  </r>
  <r>
    <x v="2"/>
    <x v="4"/>
    <n v="158159"/>
    <n v="46096"/>
    <n v="529"/>
    <n v="1.52"/>
    <n v="18237"/>
    <n v="6.85"/>
    <x v="2"/>
    <x v="0"/>
    <n v="5"/>
  </r>
  <r>
    <x v="0"/>
    <x v="1"/>
    <n v="15704"/>
    <n v="7450"/>
    <n v="437"/>
    <n v="1.0900000000000001"/>
    <n v="12570"/>
    <n v="1.75"/>
    <x v="2"/>
    <x v="0"/>
    <n v="3"/>
  </r>
  <r>
    <x v="3"/>
    <x v="3"/>
    <n v="121279"/>
    <n v="14230"/>
    <n v="502"/>
    <n v="2.44"/>
    <n v="8634"/>
    <n v="9"/>
    <x v="0"/>
    <x v="2"/>
    <n v="7"/>
  </r>
  <r>
    <x v="2"/>
    <x v="2"/>
    <n v="168280"/>
    <n v="30009"/>
    <n v="244"/>
    <n v="4.13"/>
    <n v="1424"/>
    <n v="14.23"/>
    <x v="0"/>
    <x v="0"/>
    <n v="7"/>
  </r>
  <r>
    <x v="2"/>
    <x v="1"/>
    <n v="128516"/>
    <n v="6433"/>
    <n v="629"/>
    <n v="3.26"/>
    <n v="19054"/>
    <n v="5.04"/>
    <x v="1"/>
    <x v="2"/>
    <n v="2"/>
  </r>
  <r>
    <x v="2"/>
    <x v="3"/>
    <n v="180954"/>
    <n v="34866"/>
    <n v="170"/>
    <n v="2.25"/>
    <n v="6006"/>
    <n v="10.64"/>
    <x v="1"/>
    <x v="2"/>
    <n v="7"/>
  </r>
  <r>
    <x v="0"/>
    <x v="3"/>
    <n v="166995"/>
    <n v="40864"/>
    <n v="730"/>
    <n v="3.62"/>
    <n v="14150"/>
    <n v="12"/>
    <x v="3"/>
    <x v="0"/>
    <n v="6"/>
  </r>
  <r>
    <x v="3"/>
    <x v="0"/>
    <n v="124044"/>
    <n v="19710"/>
    <n v="761"/>
    <n v="1.93"/>
    <n v="2895"/>
    <n v="1.72"/>
    <x v="3"/>
    <x v="2"/>
    <n v="9"/>
  </r>
  <r>
    <x v="2"/>
    <x v="4"/>
    <n v="39165"/>
    <n v="12439"/>
    <n v="340"/>
    <n v="1.06"/>
    <n v="15810"/>
    <n v="17.5"/>
    <x v="2"/>
    <x v="1"/>
    <n v="9"/>
  </r>
  <r>
    <x v="1"/>
    <x v="4"/>
    <n v="77203"/>
    <n v="42855"/>
    <n v="342"/>
    <n v="4.0599999999999996"/>
    <n v="8726"/>
    <n v="26.53"/>
    <x v="0"/>
    <x v="2"/>
    <n v="2"/>
  </r>
  <r>
    <x v="2"/>
    <x v="1"/>
    <n v="14114"/>
    <n v="17021"/>
    <n v="59"/>
    <n v="3.49"/>
    <n v="12281"/>
    <n v="4.55"/>
    <x v="2"/>
    <x v="2"/>
    <n v="7"/>
  </r>
  <r>
    <x v="2"/>
    <x v="4"/>
    <n v="46321"/>
    <n v="7416"/>
    <n v="532"/>
    <n v="4.05"/>
    <n v="6015"/>
    <n v="17.93"/>
    <x v="2"/>
    <x v="0"/>
    <n v="5"/>
  </r>
  <r>
    <x v="0"/>
    <x v="2"/>
    <n v="83297"/>
    <n v="7980"/>
    <n v="872"/>
    <n v="1.1599999999999999"/>
    <n v="19554"/>
    <n v="19.940000000000001"/>
    <x v="0"/>
    <x v="0"/>
    <n v="6"/>
  </r>
  <r>
    <x v="0"/>
    <x v="4"/>
    <n v="106652"/>
    <n v="19058"/>
    <n v="677"/>
    <n v="4.3499999999999996"/>
    <n v="3865"/>
    <n v="12.58"/>
    <x v="3"/>
    <x v="2"/>
    <n v="1"/>
  </r>
  <r>
    <x v="3"/>
    <x v="1"/>
    <n v="109304"/>
    <n v="12101"/>
    <n v="501"/>
    <n v="3.48"/>
    <n v="17472"/>
    <n v="21.03"/>
    <x v="0"/>
    <x v="0"/>
    <n v="7"/>
  </r>
  <r>
    <x v="1"/>
    <x v="4"/>
    <n v="166498"/>
    <n v="41718"/>
    <n v="591"/>
    <n v="3.25"/>
    <n v="11910"/>
    <n v="12.32"/>
    <x v="4"/>
    <x v="1"/>
    <n v="6"/>
  </r>
  <r>
    <x v="0"/>
    <x v="2"/>
    <n v="27772"/>
    <n v="33602"/>
    <n v="690"/>
    <n v="3.5"/>
    <n v="9595"/>
    <n v="15.14"/>
    <x v="4"/>
    <x v="1"/>
    <n v="4"/>
  </r>
  <r>
    <x v="2"/>
    <x v="0"/>
    <n v="113754"/>
    <n v="10122"/>
    <n v="281"/>
    <n v="4.46"/>
    <n v="10861"/>
    <n v="0.22"/>
    <x v="4"/>
    <x v="0"/>
    <n v="1"/>
  </r>
  <r>
    <x v="3"/>
    <x v="1"/>
    <n v="13712"/>
    <n v="13576"/>
    <n v="589"/>
    <n v="3.35"/>
    <n v="9031"/>
    <n v="20.75"/>
    <x v="1"/>
    <x v="2"/>
    <n v="9"/>
  </r>
  <r>
    <x v="2"/>
    <x v="0"/>
    <n v="142439"/>
    <n v="28516"/>
    <n v="876"/>
    <n v="3.32"/>
    <n v="4770"/>
    <n v="19.84"/>
    <x v="3"/>
    <x v="1"/>
    <n v="4"/>
  </r>
  <r>
    <x v="2"/>
    <x v="0"/>
    <n v="125142"/>
    <n v="23433"/>
    <n v="261"/>
    <n v="4.96"/>
    <n v="10406"/>
    <n v="1.1499999999999999"/>
    <x v="3"/>
    <x v="1"/>
    <n v="2"/>
  </r>
  <r>
    <x v="0"/>
    <x v="0"/>
    <n v="101736"/>
    <n v="2089"/>
    <n v="569"/>
    <n v="4.03"/>
    <n v="17440"/>
    <n v="11.05"/>
    <x v="1"/>
    <x v="2"/>
    <n v="8"/>
  </r>
  <r>
    <x v="3"/>
    <x v="3"/>
    <n v="61924"/>
    <n v="38346"/>
    <n v="705"/>
    <n v="2.77"/>
    <n v="11779"/>
    <n v="29.37"/>
    <x v="2"/>
    <x v="0"/>
    <n v="2"/>
  </r>
  <r>
    <x v="1"/>
    <x v="3"/>
    <n v="13726"/>
    <n v="10127"/>
    <n v="841"/>
    <n v="3.83"/>
    <n v="5952"/>
    <n v="12.62"/>
    <x v="4"/>
    <x v="1"/>
    <n v="5"/>
  </r>
  <r>
    <x v="1"/>
    <x v="0"/>
    <n v="99152"/>
    <n v="11487"/>
    <n v="708"/>
    <n v="2.56"/>
    <n v="6977"/>
    <n v="15.06"/>
    <x v="4"/>
    <x v="2"/>
    <n v="6"/>
  </r>
  <r>
    <x v="0"/>
    <x v="1"/>
    <n v="37723"/>
    <n v="1155"/>
    <n v="99"/>
    <n v="1.92"/>
    <n v="17900"/>
    <n v="27.3"/>
    <x v="2"/>
    <x v="2"/>
    <n v="8"/>
  </r>
  <r>
    <x v="0"/>
    <x v="2"/>
    <n v="136969"/>
    <n v="2958"/>
    <n v="455"/>
    <n v="3.39"/>
    <n v="6970"/>
    <n v="21.52"/>
    <x v="0"/>
    <x v="1"/>
    <n v="1"/>
  </r>
  <r>
    <x v="3"/>
    <x v="2"/>
    <n v="110494"/>
    <n v="11693"/>
    <n v="341"/>
    <n v="4.71"/>
    <n v="2562"/>
    <n v="17.46"/>
    <x v="0"/>
    <x v="0"/>
    <n v="1"/>
  </r>
  <r>
    <x v="1"/>
    <x v="4"/>
    <n v="150180"/>
    <n v="40112"/>
    <n v="148"/>
    <n v="4.72"/>
    <n v="9530"/>
    <n v="23.93"/>
    <x v="3"/>
    <x v="1"/>
    <n v="4"/>
  </r>
  <r>
    <x v="1"/>
    <x v="1"/>
    <n v="45643"/>
    <n v="39547"/>
    <n v="366"/>
    <n v="2.37"/>
    <n v="2313"/>
    <n v="25.93"/>
    <x v="1"/>
    <x v="2"/>
    <n v="5"/>
  </r>
  <r>
    <x v="1"/>
    <x v="3"/>
    <n v="172396"/>
    <n v="29795"/>
    <n v="610"/>
    <n v="3.11"/>
    <n v="12171"/>
    <n v="13.71"/>
    <x v="3"/>
    <x v="1"/>
    <n v="9"/>
  </r>
  <r>
    <x v="2"/>
    <x v="0"/>
    <n v="113896"/>
    <n v="22447"/>
    <n v="283"/>
    <n v="1.85"/>
    <n v="14808"/>
    <n v="14.25"/>
    <x v="0"/>
    <x v="0"/>
    <n v="7"/>
  </r>
  <r>
    <x v="1"/>
    <x v="4"/>
    <n v="149999"/>
    <n v="37598"/>
    <n v="28"/>
    <n v="4.9800000000000004"/>
    <n v="2813"/>
    <n v="11.58"/>
    <x v="2"/>
    <x v="2"/>
    <n v="7"/>
  </r>
  <r>
    <x v="2"/>
    <x v="2"/>
    <n v="103680"/>
    <n v="42814"/>
    <n v="992"/>
    <n v="4.92"/>
    <n v="10206"/>
    <n v="29"/>
    <x v="3"/>
    <x v="0"/>
    <n v="8"/>
  </r>
  <r>
    <x v="3"/>
    <x v="3"/>
    <n v="106546"/>
    <n v="26215"/>
    <n v="320"/>
    <n v="3.6"/>
    <n v="18115"/>
    <n v="20.91"/>
    <x v="4"/>
    <x v="1"/>
    <n v="5"/>
  </r>
  <r>
    <x v="2"/>
    <x v="3"/>
    <n v="163515"/>
    <n v="10794"/>
    <n v="879"/>
    <n v="4.22"/>
    <n v="10337"/>
    <n v="2.5"/>
    <x v="4"/>
    <x v="1"/>
    <n v="5"/>
  </r>
  <r>
    <x v="3"/>
    <x v="0"/>
    <n v="89973"/>
    <n v="34209"/>
    <n v="895"/>
    <n v="3.86"/>
    <n v="6331"/>
    <n v="25.89"/>
    <x v="2"/>
    <x v="0"/>
    <n v="1"/>
  </r>
  <r>
    <x v="1"/>
    <x v="2"/>
    <n v="73449"/>
    <n v="23424"/>
    <n v="987"/>
    <n v="3.37"/>
    <n v="19883"/>
    <n v="14.42"/>
    <x v="0"/>
    <x v="1"/>
    <n v="9"/>
  </r>
  <r>
    <x v="1"/>
    <x v="1"/>
    <n v="119834"/>
    <n v="48246"/>
    <n v="163"/>
    <n v="1.21"/>
    <n v="4556"/>
    <n v="2.06"/>
    <x v="4"/>
    <x v="0"/>
    <n v="6"/>
  </r>
  <r>
    <x v="3"/>
    <x v="3"/>
    <n v="35537"/>
    <n v="38396"/>
    <n v="399"/>
    <n v="2.82"/>
    <n v="805"/>
    <n v="16.489999999999998"/>
    <x v="4"/>
    <x v="1"/>
    <n v="9"/>
  </r>
  <r>
    <x v="0"/>
    <x v="0"/>
    <n v="87576"/>
    <n v="7370"/>
    <n v="269"/>
    <n v="3.7"/>
    <n v="14847"/>
    <n v="12.51"/>
    <x v="1"/>
    <x v="0"/>
    <n v="3"/>
  </r>
  <r>
    <x v="3"/>
    <x v="1"/>
    <n v="117522"/>
    <n v="10528"/>
    <n v="629"/>
    <n v="3.71"/>
    <n v="2189"/>
    <n v="26.33"/>
    <x v="3"/>
    <x v="0"/>
    <n v="5"/>
  </r>
  <r>
    <x v="0"/>
    <x v="2"/>
    <n v="32612"/>
    <n v="29276"/>
    <n v="892"/>
    <n v="2.4900000000000002"/>
    <n v="4417"/>
    <n v="6.12"/>
    <x v="0"/>
    <x v="2"/>
    <n v="2"/>
  </r>
  <r>
    <x v="2"/>
    <x v="3"/>
    <n v="16471"/>
    <n v="45333"/>
    <n v="806"/>
    <n v="4.7699999999999996"/>
    <n v="3436"/>
    <n v="24.79"/>
    <x v="3"/>
    <x v="2"/>
    <n v="5"/>
  </r>
  <r>
    <x v="2"/>
    <x v="1"/>
    <n v="176703"/>
    <n v="9179"/>
    <n v="580"/>
    <n v="1.67"/>
    <n v="4362"/>
    <n v="16.73"/>
    <x v="0"/>
    <x v="0"/>
    <n v="8"/>
  </r>
  <r>
    <x v="2"/>
    <x v="1"/>
    <n v="41348"/>
    <n v="49781"/>
    <n v="134"/>
    <n v="3"/>
    <n v="15006"/>
    <n v="1.64"/>
    <x v="4"/>
    <x v="1"/>
    <n v="2"/>
  </r>
  <r>
    <x v="1"/>
    <x v="1"/>
    <n v="11177"/>
    <n v="17843"/>
    <n v="363"/>
    <n v="3.76"/>
    <n v="14818"/>
    <n v="29.16"/>
    <x v="1"/>
    <x v="1"/>
    <n v="8"/>
  </r>
  <r>
    <x v="2"/>
    <x v="3"/>
    <n v="145832"/>
    <n v="24952"/>
    <n v="282"/>
    <n v="3.79"/>
    <n v="15800"/>
    <n v="15.38"/>
    <x v="3"/>
    <x v="1"/>
    <n v="4"/>
  </r>
  <r>
    <x v="0"/>
    <x v="3"/>
    <n v="42779"/>
    <n v="34160"/>
    <n v="628"/>
    <n v="3.59"/>
    <n v="6149"/>
    <n v="8.73"/>
    <x v="4"/>
    <x v="0"/>
    <n v="1"/>
  </r>
  <r>
    <x v="2"/>
    <x v="4"/>
    <n v="31636"/>
    <n v="45898"/>
    <n v="820"/>
    <n v="2.1"/>
    <n v="18703"/>
    <n v="14.08"/>
    <x v="0"/>
    <x v="0"/>
    <n v="5"/>
  </r>
  <r>
    <x v="3"/>
    <x v="2"/>
    <n v="91889"/>
    <n v="30516"/>
    <n v="254"/>
    <n v="1.62"/>
    <n v="16174"/>
    <n v="25.74"/>
    <x v="3"/>
    <x v="0"/>
    <n v="1"/>
  </r>
  <r>
    <x v="3"/>
    <x v="0"/>
    <n v="63551"/>
    <n v="11449"/>
    <n v="857"/>
    <n v="3.54"/>
    <n v="18226"/>
    <n v="9.15"/>
    <x v="3"/>
    <x v="0"/>
    <n v="7"/>
  </r>
  <r>
    <x v="1"/>
    <x v="1"/>
    <n v="152628"/>
    <n v="22125"/>
    <n v="459"/>
    <n v="3.4"/>
    <n v="6060"/>
    <n v="5.78"/>
    <x v="4"/>
    <x v="2"/>
    <n v="8"/>
  </r>
  <r>
    <x v="3"/>
    <x v="4"/>
    <n v="168670"/>
    <n v="8418"/>
    <n v="939"/>
    <n v="1.72"/>
    <n v="15951"/>
    <n v="3.87"/>
    <x v="3"/>
    <x v="0"/>
    <n v="3"/>
  </r>
  <r>
    <x v="0"/>
    <x v="0"/>
    <n v="152635"/>
    <n v="23746"/>
    <n v="256"/>
    <n v="3.82"/>
    <n v="19110"/>
    <n v="8.94"/>
    <x v="1"/>
    <x v="1"/>
    <n v="3"/>
  </r>
  <r>
    <x v="2"/>
    <x v="4"/>
    <n v="56819"/>
    <n v="3454"/>
    <n v="529"/>
    <n v="2.82"/>
    <n v="1579"/>
    <n v="23.4"/>
    <x v="1"/>
    <x v="2"/>
    <n v="7"/>
  </r>
  <r>
    <x v="1"/>
    <x v="3"/>
    <n v="83770"/>
    <n v="18761"/>
    <n v="150"/>
    <n v="3.67"/>
    <n v="14483"/>
    <n v="14.15"/>
    <x v="4"/>
    <x v="1"/>
    <n v="4"/>
  </r>
  <r>
    <x v="2"/>
    <x v="1"/>
    <n v="168038"/>
    <n v="16223"/>
    <n v="371"/>
    <n v="4.3499999999999996"/>
    <n v="15827"/>
    <n v="6.82"/>
    <x v="0"/>
    <x v="0"/>
    <n v="3"/>
  </r>
  <r>
    <x v="2"/>
    <x v="0"/>
    <n v="168059"/>
    <n v="7701"/>
    <n v="17"/>
    <n v="1.68"/>
    <n v="13255"/>
    <n v="4.99"/>
    <x v="4"/>
    <x v="2"/>
    <n v="8"/>
  </r>
  <r>
    <x v="0"/>
    <x v="0"/>
    <n v="88714"/>
    <n v="3597"/>
    <n v="487"/>
    <n v="1.08"/>
    <n v="7735"/>
    <n v="9.98"/>
    <x v="1"/>
    <x v="0"/>
    <n v="3"/>
  </r>
  <r>
    <x v="3"/>
    <x v="0"/>
    <n v="199420"/>
    <n v="1141"/>
    <n v="361"/>
    <n v="4.12"/>
    <n v="17697"/>
    <n v="28.2"/>
    <x v="2"/>
    <x v="2"/>
    <n v="7"/>
  </r>
  <r>
    <x v="3"/>
    <x v="0"/>
    <n v="34596"/>
    <n v="3659"/>
    <n v="504"/>
    <n v="3.44"/>
    <n v="2531"/>
    <n v="10.29"/>
    <x v="2"/>
    <x v="1"/>
    <n v="2"/>
  </r>
  <r>
    <x v="2"/>
    <x v="0"/>
    <n v="174246"/>
    <n v="21980"/>
    <n v="615"/>
    <n v="3.8"/>
    <n v="9014"/>
    <n v="29.64"/>
    <x v="3"/>
    <x v="0"/>
    <n v="1"/>
  </r>
  <r>
    <x v="1"/>
    <x v="4"/>
    <n v="74106"/>
    <n v="10031"/>
    <n v="842"/>
    <n v="4.3499999999999996"/>
    <n v="9595"/>
    <n v="14.56"/>
    <x v="3"/>
    <x v="0"/>
    <n v="6"/>
  </r>
  <r>
    <x v="3"/>
    <x v="1"/>
    <n v="69182"/>
    <n v="16037"/>
    <n v="436"/>
    <n v="4.21"/>
    <n v="14787"/>
    <n v="5.37"/>
    <x v="2"/>
    <x v="2"/>
    <n v="8"/>
  </r>
  <r>
    <x v="1"/>
    <x v="3"/>
    <n v="97163"/>
    <n v="47738"/>
    <n v="48"/>
    <n v="4.84"/>
    <n v="6411"/>
    <n v="26.73"/>
    <x v="1"/>
    <x v="2"/>
    <n v="1"/>
  </r>
  <r>
    <x v="3"/>
    <x v="3"/>
    <n v="49310"/>
    <n v="39429"/>
    <n v="602"/>
    <n v="3.14"/>
    <n v="12195"/>
    <n v="13.81"/>
    <x v="3"/>
    <x v="0"/>
    <n v="9"/>
  </r>
  <r>
    <x v="1"/>
    <x v="3"/>
    <n v="66088"/>
    <n v="7142"/>
    <n v="196"/>
    <n v="2.95"/>
    <n v="19537"/>
    <n v="21.29"/>
    <x v="4"/>
    <x v="2"/>
    <n v="3"/>
  </r>
  <r>
    <x v="0"/>
    <x v="3"/>
    <n v="138803"/>
    <n v="13109"/>
    <n v="605"/>
    <n v="2.61"/>
    <n v="3840"/>
    <n v="29.51"/>
    <x v="4"/>
    <x v="0"/>
    <n v="3"/>
  </r>
  <r>
    <x v="1"/>
    <x v="4"/>
    <n v="149978"/>
    <n v="23010"/>
    <n v="609"/>
    <n v="1.61"/>
    <n v="8376"/>
    <n v="1.51"/>
    <x v="1"/>
    <x v="2"/>
    <n v="4"/>
  </r>
  <r>
    <x v="0"/>
    <x v="2"/>
    <n v="46914"/>
    <n v="9787"/>
    <n v="763"/>
    <n v="3.29"/>
    <n v="16396"/>
    <n v="2.9"/>
    <x v="3"/>
    <x v="1"/>
    <n v="1"/>
  </r>
  <r>
    <x v="0"/>
    <x v="1"/>
    <n v="120350"/>
    <n v="43864"/>
    <n v="863"/>
    <n v="2.11"/>
    <n v="12935"/>
    <n v="21.61"/>
    <x v="4"/>
    <x v="2"/>
    <n v="9"/>
  </r>
  <r>
    <x v="1"/>
    <x v="0"/>
    <n v="55379"/>
    <n v="9472"/>
    <n v="102"/>
    <n v="4.6900000000000004"/>
    <n v="1641"/>
    <n v="8.4499999999999993"/>
    <x v="3"/>
    <x v="1"/>
    <n v="3"/>
  </r>
  <r>
    <x v="0"/>
    <x v="2"/>
    <n v="178722"/>
    <n v="24383"/>
    <n v="95"/>
    <n v="3.33"/>
    <n v="19781"/>
    <n v="5.53"/>
    <x v="3"/>
    <x v="2"/>
    <n v="4"/>
  </r>
  <r>
    <x v="2"/>
    <x v="3"/>
    <n v="187953"/>
    <n v="5249"/>
    <n v="53"/>
    <n v="3.37"/>
    <n v="9781"/>
    <n v="1.18"/>
    <x v="4"/>
    <x v="2"/>
    <n v="1"/>
  </r>
  <r>
    <x v="0"/>
    <x v="2"/>
    <n v="56413"/>
    <n v="48717"/>
    <n v="146"/>
    <n v="2.42"/>
    <n v="2538"/>
    <n v="0.66"/>
    <x v="2"/>
    <x v="0"/>
    <n v="4"/>
  </r>
  <r>
    <x v="3"/>
    <x v="1"/>
    <n v="147084"/>
    <n v="35518"/>
    <n v="430"/>
    <n v="1.21"/>
    <n v="4770"/>
    <n v="23.23"/>
    <x v="4"/>
    <x v="2"/>
    <n v="1"/>
  </r>
  <r>
    <x v="1"/>
    <x v="0"/>
    <n v="191187"/>
    <n v="19351"/>
    <n v="83"/>
    <n v="1.1299999999999999"/>
    <n v="10546"/>
    <n v="4.03"/>
    <x v="1"/>
    <x v="2"/>
    <n v="5"/>
  </r>
  <r>
    <x v="2"/>
    <x v="0"/>
    <n v="17151"/>
    <n v="5088"/>
    <n v="557"/>
    <n v="2.69"/>
    <n v="5183"/>
    <n v="14.03"/>
    <x v="0"/>
    <x v="1"/>
    <n v="5"/>
  </r>
  <r>
    <x v="1"/>
    <x v="1"/>
    <n v="67716"/>
    <n v="16282"/>
    <n v="622"/>
    <n v="1.34"/>
    <n v="17378"/>
    <n v="18.18"/>
    <x v="4"/>
    <x v="2"/>
    <n v="7"/>
  </r>
  <r>
    <x v="3"/>
    <x v="1"/>
    <n v="103747"/>
    <n v="20330"/>
    <n v="997"/>
    <n v="3.43"/>
    <n v="7616"/>
    <n v="12.85"/>
    <x v="3"/>
    <x v="0"/>
    <n v="8"/>
  </r>
  <r>
    <x v="3"/>
    <x v="3"/>
    <n v="177450"/>
    <n v="43409"/>
    <n v="521"/>
    <n v="4.5199999999999996"/>
    <n v="2284"/>
    <n v="0.81"/>
    <x v="3"/>
    <x v="1"/>
    <n v="4"/>
  </r>
  <r>
    <x v="3"/>
    <x v="0"/>
    <n v="183724"/>
    <n v="22778"/>
    <n v="165"/>
    <n v="4.53"/>
    <n v="4286"/>
    <n v="23.51"/>
    <x v="4"/>
    <x v="0"/>
    <n v="7"/>
  </r>
  <r>
    <x v="0"/>
    <x v="2"/>
    <n v="154539"/>
    <n v="25264"/>
    <n v="947"/>
    <n v="3.64"/>
    <n v="9690"/>
    <n v="0.32"/>
    <x v="0"/>
    <x v="0"/>
    <n v="4"/>
  </r>
  <r>
    <x v="0"/>
    <x v="4"/>
    <n v="172082"/>
    <n v="6075"/>
    <n v="264"/>
    <n v="1.84"/>
    <n v="5928"/>
    <n v="22.86"/>
    <x v="4"/>
    <x v="0"/>
    <n v="3"/>
  </r>
  <r>
    <x v="1"/>
    <x v="4"/>
    <n v="131999"/>
    <n v="11412"/>
    <n v="180"/>
    <n v="4.45"/>
    <n v="7181"/>
    <n v="26.8"/>
    <x v="0"/>
    <x v="0"/>
    <n v="6"/>
  </r>
  <r>
    <x v="1"/>
    <x v="1"/>
    <n v="124793"/>
    <n v="49454"/>
    <n v="990"/>
    <n v="4.54"/>
    <n v="7393"/>
    <n v="12.99"/>
    <x v="0"/>
    <x v="1"/>
    <n v="4"/>
  </r>
  <r>
    <x v="2"/>
    <x v="3"/>
    <n v="195763"/>
    <n v="29365"/>
    <n v="737"/>
    <n v="1.79"/>
    <n v="13161"/>
    <n v="16.07"/>
    <x v="1"/>
    <x v="2"/>
    <n v="3"/>
  </r>
  <r>
    <x v="2"/>
    <x v="4"/>
    <n v="118177"/>
    <n v="8230"/>
    <n v="179"/>
    <n v="3.95"/>
    <n v="15392"/>
    <n v="14.31"/>
    <x v="3"/>
    <x v="0"/>
    <n v="9"/>
  </r>
  <r>
    <x v="1"/>
    <x v="0"/>
    <n v="22289"/>
    <n v="49200"/>
    <n v="773"/>
    <n v="2.15"/>
    <n v="10143"/>
    <n v="11.68"/>
    <x v="3"/>
    <x v="1"/>
    <n v="5"/>
  </r>
  <r>
    <x v="0"/>
    <x v="1"/>
    <n v="186048"/>
    <n v="12002"/>
    <n v="881"/>
    <n v="4.21"/>
    <n v="10443"/>
    <n v="26.62"/>
    <x v="0"/>
    <x v="0"/>
    <n v="7"/>
  </r>
  <r>
    <x v="3"/>
    <x v="2"/>
    <n v="184668"/>
    <n v="14947"/>
    <n v="331"/>
    <n v="4.99"/>
    <n v="10972"/>
    <n v="26.82"/>
    <x v="3"/>
    <x v="2"/>
    <n v="6"/>
  </r>
  <r>
    <x v="1"/>
    <x v="1"/>
    <n v="164243"/>
    <n v="14686"/>
    <n v="576"/>
    <n v="1.1200000000000001"/>
    <n v="13492"/>
    <n v="10.07"/>
    <x v="2"/>
    <x v="1"/>
    <n v="5"/>
  </r>
  <r>
    <x v="2"/>
    <x v="2"/>
    <n v="96365"/>
    <n v="30304"/>
    <n v="465"/>
    <n v="4.59"/>
    <n v="11626"/>
    <n v="18.45"/>
    <x v="0"/>
    <x v="1"/>
    <n v="7"/>
  </r>
  <r>
    <x v="0"/>
    <x v="1"/>
    <n v="124014"/>
    <n v="14074"/>
    <n v="953"/>
    <n v="3.49"/>
    <n v="7369"/>
    <n v="27.81"/>
    <x v="3"/>
    <x v="2"/>
    <n v="6"/>
  </r>
  <r>
    <x v="1"/>
    <x v="1"/>
    <n v="185211"/>
    <n v="5493"/>
    <n v="612"/>
    <n v="4.8899999999999997"/>
    <n v="8169"/>
    <n v="28.86"/>
    <x v="2"/>
    <x v="1"/>
    <n v="2"/>
  </r>
  <r>
    <x v="1"/>
    <x v="1"/>
    <n v="189785"/>
    <n v="35228"/>
    <n v="799"/>
    <n v="2.86"/>
    <n v="12038"/>
    <n v="15.27"/>
    <x v="1"/>
    <x v="2"/>
    <n v="3"/>
  </r>
  <r>
    <x v="0"/>
    <x v="2"/>
    <n v="170806"/>
    <n v="15140"/>
    <n v="622"/>
    <n v="4.3899999999999997"/>
    <n v="10565"/>
    <n v="13.58"/>
    <x v="3"/>
    <x v="1"/>
    <n v="2"/>
  </r>
  <r>
    <x v="1"/>
    <x v="2"/>
    <n v="82588"/>
    <n v="32655"/>
    <n v="164"/>
    <n v="1.25"/>
    <n v="10671"/>
    <n v="8.36"/>
    <x v="2"/>
    <x v="1"/>
    <n v="3"/>
  </r>
  <r>
    <x v="0"/>
    <x v="1"/>
    <n v="73646"/>
    <n v="44472"/>
    <n v="898"/>
    <n v="2.34"/>
    <n v="18196"/>
    <n v="28.77"/>
    <x v="4"/>
    <x v="2"/>
    <n v="1"/>
  </r>
  <r>
    <x v="3"/>
    <x v="4"/>
    <n v="13654"/>
    <n v="7816"/>
    <n v="358"/>
    <n v="1.27"/>
    <n v="3462"/>
    <n v="4.28"/>
    <x v="4"/>
    <x v="2"/>
    <n v="8"/>
  </r>
  <r>
    <x v="0"/>
    <x v="3"/>
    <n v="28743"/>
    <n v="12639"/>
    <n v="460"/>
    <n v="4.9000000000000004"/>
    <n v="14351"/>
    <n v="17.39"/>
    <x v="2"/>
    <x v="1"/>
    <n v="6"/>
  </r>
  <r>
    <x v="0"/>
    <x v="3"/>
    <n v="58368"/>
    <n v="48192"/>
    <n v="885"/>
    <n v="4.2699999999999996"/>
    <n v="19822"/>
    <n v="8.48"/>
    <x v="0"/>
    <x v="1"/>
    <n v="2"/>
  </r>
  <r>
    <x v="0"/>
    <x v="3"/>
    <n v="147513"/>
    <n v="47733"/>
    <n v="662"/>
    <n v="4.41"/>
    <n v="13479"/>
    <n v="8.3699999999999992"/>
    <x v="0"/>
    <x v="2"/>
    <n v="8"/>
  </r>
  <r>
    <x v="1"/>
    <x v="2"/>
    <n v="129735"/>
    <n v="30492"/>
    <n v="182"/>
    <n v="4.75"/>
    <n v="5796"/>
    <n v="12.15"/>
    <x v="3"/>
    <x v="2"/>
    <n v="6"/>
  </r>
  <r>
    <x v="1"/>
    <x v="2"/>
    <n v="165683"/>
    <n v="12240"/>
    <n v="19"/>
    <n v="1.34"/>
    <n v="15245"/>
    <n v="29.96"/>
    <x v="4"/>
    <x v="1"/>
    <n v="7"/>
  </r>
  <r>
    <x v="0"/>
    <x v="4"/>
    <n v="129891"/>
    <n v="33698"/>
    <n v="749"/>
    <n v="2.54"/>
    <n v="6230"/>
    <n v="1.65"/>
    <x v="0"/>
    <x v="1"/>
    <n v="1"/>
  </r>
  <r>
    <x v="1"/>
    <x v="3"/>
    <n v="117971"/>
    <n v="27957"/>
    <n v="274"/>
    <n v="1.28"/>
    <n v="14421"/>
    <n v="17.36"/>
    <x v="0"/>
    <x v="1"/>
    <n v="7"/>
  </r>
  <r>
    <x v="2"/>
    <x v="3"/>
    <n v="22149"/>
    <n v="33808"/>
    <n v="447"/>
    <n v="1.84"/>
    <n v="626"/>
    <n v="2.48"/>
    <x v="4"/>
    <x v="2"/>
    <n v="3"/>
  </r>
  <r>
    <x v="2"/>
    <x v="1"/>
    <n v="110102"/>
    <n v="6827"/>
    <n v="769"/>
    <n v="1.92"/>
    <n v="6102"/>
    <n v="4.6399999999999997"/>
    <x v="1"/>
    <x v="1"/>
    <n v="8"/>
  </r>
  <r>
    <x v="1"/>
    <x v="2"/>
    <n v="69189"/>
    <n v="33762"/>
    <n v="256"/>
    <n v="2.88"/>
    <n v="18075"/>
    <n v="13.19"/>
    <x v="0"/>
    <x v="0"/>
    <n v="6"/>
  </r>
  <r>
    <x v="1"/>
    <x v="3"/>
    <n v="162747"/>
    <n v="9259"/>
    <n v="676"/>
    <n v="2.0699999999999998"/>
    <n v="19523"/>
    <n v="15.31"/>
    <x v="2"/>
    <x v="2"/>
    <n v="4"/>
  </r>
  <r>
    <x v="0"/>
    <x v="4"/>
    <n v="81031"/>
    <n v="15849"/>
    <n v="555"/>
    <n v="1.4"/>
    <n v="13081"/>
    <n v="7.76"/>
    <x v="3"/>
    <x v="1"/>
    <n v="8"/>
  </r>
  <r>
    <x v="3"/>
    <x v="4"/>
    <n v="52668"/>
    <n v="17232"/>
    <n v="508"/>
    <n v="1.67"/>
    <n v="16497"/>
    <n v="9.49"/>
    <x v="0"/>
    <x v="2"/>
    <n v="9"/>
  </r>
  <r>
    <x v="1"/>
    <x v="3"/>
    <n v="154745"/>
    <n v="41572"/>
    <n v="138"/>
    <n v="1.59"/>
    <n v="18250"/>
    <n v="2.61"/>
    <x v="0"/>
    <x v="0"/>
    <n v="2"/>
  </r>
  <r>
    <x v="2"/>
    <x v="2"/>
    <n v="98204"/>
    <n v="25173"/>
    <n v="681"/>
    <n v="4.8899999999999997"/>
    <n v="9711"/>
    <n v="9.1"/>
    <x v="1"/>
    <x v="2"/>
    <n v="6"/>
  </r>
  <r>
    <x v="0"/>
    <x v="4"/>
    <n v="164741"/>
    <n v="6374"/>
    <n v="610"/>
    <n v="4.04"/>
    <n v="15497"/>
    <n v="29"/>
    <x v="2"/>
    <x v="1"/>
    <n v="5"/>
  </r>
  <r>
    <x v="1"/>
    <x v="1"/>
    <n v="175140"/>
    <n v="22174"/>
    <n v="614"/>
    <n v="4.87"/>
    <n v="7171"/>
    <n v="28.34"/>
    <x v="3"/>
    <x v="0"/>
    <n v="5"/>
  </r>
  <r>
    <x v="2"/>
    <x v="4"/>
    <n v="150507"/>
    <n v="24567"/>
    <n v="336"/>
    <n v="2.76"/>
    <n v="12771"/>
    <n v="10.050000000000001"/>
    <x v="0"/>
    <x v="0"/>
    <n v="3"/>
  </r>
  <r>
    <x v="2"/>
    <x v="0"/>
    <n v="193321"/>
    <n v="36292"/>
    <n v="762"/>
    <n v="2.11"/>
    <n v="9376"/>
    <n v="17.13"/>
    <x v="3"/>
    <x v="1"/>
    <n v="8"/>
  </r>
  <r>
    <x v="3"/>
    <x v="0"/>
    <n v="47384"/>
    <n v="10277"/>
    <n v="844"/>
    <n v="4.1900000000000004"/>
    <n v="3387"/>
    <n v="27.29"/>
    <x v="4"/>
    <x v="1"/>
    <n v="8"/>
  </r>
  <r>
    <x v="0"/>
    <x v="2"/>
    <n v="91929"/>
    <n v="32600"/>
    <n v="989"/>
    <n v="2.31"/>
    <n v="10154"/>
    <n v="0.19"/>
    <x v="0"/>
    <x v="1"/>
    <n v="5"/>
  </r>
  <r>
    <x v="0"/>
    <x v="3"/>
    <n v="137959"/>
    <n v="10885"/>
    <n v="413"/>
    <n v="2.2000000000000002"/>
    <n v="4586"/>
    <n v="24.32"/>
    <x v="0"/>
    <x v="2"/>
    <n v="8"/>
  </r>
  <r>
    <x v="3"/>
    <x v="2"/>
    <n v="86153"/>
    <n v="1778"/>
    <n v="638"/>
    <n v="1.93"/>
    <n v="19145"/>
    <n v="28.45"/>
    <x v="4"/>
    <x v="2"/>
    <n v="8"/>
  </r>
  <r>
    <x v="3"/>
    <x v="2"/>
    <n v="85388"/>
    <n v="30165"/>
    <n v="615"/>
    <n v="1.52"/>
    <n v="4680"/>
    <n v="2.74"/>
    <x v="1"/>
    <x v="2"/>
    <n v="3"/>
  </r>
  <r>
    <x v="0"/>
    <x v="2"/>
    <n v="41401"/>
    <n v="2492"/>
    <n v="684"/>
    <n v="2.0299999999999998"/>
    <n v="3341"/>
    <n v="4.84"/>
    <x v="0"/>
    <x v="1"/>
    <n v="2"/>
  </r>
  <r>
    <x v="0"/>
    <x v="2"/>
    <n v="129503"/>
    <n v="31462"/>
    <n v="620"/>
    <n v="2.42"/>
    <n v="6540"/>
    <n v="28.82"/>
    <x v="3"/>
    <x v="1"/>
    <n v="9"/>
  </r>
  <r>
    <x v="1"/>
    <x v="1"/>
    <n v="137834"/>
    <n v="14615"/>
    <n v="634"/>
    <n v="3.7"/>
    <n v="10804"/>
    <n v="16.13"/>
    <x v="2"/>
    <x v="2"/>
    <n v="2"/>
  </r>
  <r>
    <x v="1"/>
    <x v="1"/>
    <n v="44084"/>
    <n v="45900"/>
    <n v="368"/>
    <n v="1.25"/>
    <n v="5258"/>
    <n v="0.43"/>
    <x v="3"/>
    <x v="0"/>
    <n v="9"/>
  </r>
  <r>
    <x v="3"/>
    <x v="4"/>
    <n v="120641"/>
    <n v="43946"/>
    <n v="612"/>
    <n v="1.84"/>
    <n v="17510"/>
    <n v="7.73"/>
    <x v="1"/>
    <x v="2"/>
    <n v="4"/>
  </r>
  <r>
    <x v="1"/>
    <x v="0"/>
    <n v="115111"/>
    <n v="8851"/>
    <n v="867"/>
    <n v="4.24"/>
    <n v="16734"/>
    <n v="13.5"/>
    <x v="2"/>
    <x v="0"/>
    <n v="2"/>
  </r>
  <r>
    <x v="2"/>
    <x v="2"/>
    <n v="196898"/>
    <n v="17288"/>
    <n v="727"/>
    <n v="1.59"/>
    <n v="5514"/>
    <n v="20.79"/>
    <x v="3"/>
    <x v="1"/>
    <n v="1"/>
  </r>
  <r>
    <x v="1"/>
    <x v="4"/>
    <n v="177523"/>
    <n v="8156"/>
    <n v="26"/>
    <n v="2.37"/>
    <n v="1875"/>
    <n v="21.99"/>
    <x v="3"/>
    <x v="1"/>
    <n v="4"/>
  </r>
  <r>
    <x v="1"/>
    <x v="0"/>
    <n v="148299"/>
    <n v="3044"/>
    <n v="283"/>
    <n v="4.46"/>
    <n v="1681"/>
    <n v="29.86"/>
    <x v="4"/>
    <x v="2"/>
    <n v="9"/>
  </r>
  <r>
    <x v="2"/>
    <x v="3"/>
    <n v="172982"/>
    <n v="8368"/>
    <n v="694"/>
    <n v="1.62"/>
    <n v="990"/>
    <n v="8.6300000000000008"/>
    <x v="1"/>
    <x v="2"/>
    <n v="9"/>
  </r>
  <r>
    <x v="3"/>
    <x v="1"/>
    <n v="46041"/>
    <n v="20900"/>
    <n v="125"/>
    <n v="1.33"/>
    <n v="4229"/>
    <n v="16.149999999999999"/>
    <x v="4"/>
    <x v="1"/>
    <n v="4"/>
  </r>
  <r>
    <x v="2"/>
    <x v="0"/>
    <n v="98920"/>
    <n v="31600"/>
    <n v="870"/>
    <n v="2.94"/>
    <n v="6474"/>
    <n v="16"/>
    <x v="2"/>
    <x v="2"/>
    <n v="9"/>
  </r>
  <r>
    <x v="1"/>
    <x v="3"/>
    <n v="75681"/>
    <n v="47403"/>
    <n v="989"/>
    <n v="2.21"/>
    <n v="18824"/>
    <n v="12.17"/>
    <x v="4"/>
    <x v="1"/>
    <n v="6"/>
  </r>
  <r>
    <x v="3"/>
    <x v="0"/>
    <n v="91571"/>
    <n v="26634"/>
    <n v="702"/>
    <n v="3.25"/>
    <n v="2382"/>
    <n v="5.07"/>
    <x v="1"/>
    <x v="1"/>
    <n v="1"/>
  </r>
  <r>
    <x v="1"/>
    <x v="1"/>
    <n v="137556"/>
    <n v="10168"/>
    <n v="100"/>
    <n v="4.22"/>
    <n v="3487"/>
    <n v="29.32"/>
    <x v="0"/>
    <x v="0"/>
    <n v="6"/>
  </r>
  <r>
    <x v="2"/>
    <x v="1"/>
    <n v="36160"/>
    <n v="21961"/>
    <n v="91"/>
    <n v="1.55"/>
    <n v="6085"/>
    <n v="25.6"/>
    <x v="0"/>
    <x v="2"/>
    <n v="9"/>
  </r>
  <r>
    <x v="2"/>
    <x v="4"/>
    <n v="27633"/>
    <n v="45096"/>
    <n v="333"/>
    <n v="3.32"/>
    <n v="3659"/>
    <n v="14.95"/>
    <x v="2"/>
    <x v="1"/>
    <n v="2"/>
  </r>
  <r>
    <x v="1"/>
    <x v="2"/>
    <n v="27014"/>
    <n v="47087"/>
    <n v="970"/>
    <n v="3.02"/>
    <n v="5030"/>
    <n v="18.100000000000001"/>
    <x v="0"/>
    <x v="2"/>
    <n v="6"/>
  </r>
  <r>
    <x v="0"/>
    <x v="0"/>
    <n v="90532"/>
    <n v="24852"/>
    <n v="123"/>
    <n v="1.58"/>
    <n v="17565"/>
    <n v="6.82"/>
    <x v="4"/>
    <x v="0"/>
    <n v="2"/>
  </r>
  <r>
    <x v="0"/>
    <x v="0"/>
    <n v="59104"/>
    <n v="34110"/>
    <n v="778"/>
    <n v="3.5"/>
    <n v="1573"/>
    <n v="16.309999999999999"/>
    <x v="2"/>
    <x v="0"/>
    <n v="4"/>
  </r>
  <r>
    <x v="2"/>
    <x v="3"/>
    <n v="182693"/>
    <n v="33174"/>
    <n v="67"/>
    <n v="2.09"/>
    <n v="14243"/>
    <n v="20.85"/>
    <x v="1"/>
    <x v="2"/>
    <n v="8"/>
  </r>
  <r>
    <x v="2"/>
    <x v="1"/>
    <n v="87231"/>
    <n v="35215"/>
    <n v="163"/>
    <n v="2.95"/>
    <n v="19271"/>
    <n v="15.46"/>
    <x v="2"/>
    <x v="2"/>
    <n v="7"/>
  </r>
  <r>
    <x v="0"/>
    <x v="0"/>
    <n v="78388"/>
    <n v="27955"/>
    <n v="886"/>
    <n v="1.33"/>
    <n v="3193"/>
    <n v="29.71"/>
    <x v="2"/>
    <x v="1"/>
    <n v="9"/>
  </r>
  <r>
    <x v="0"/>
    <x v="1"/>
    <n v="26014"/>
    <n v="7581"/>
    <n v="413"/>
    <n v="2.84"/>
    <n v="10062"/>
    <n v="18.34"/>
    <x v="3"/>
    <x v="0"/>
    <n v="7"/>
  </r>
  <r>
    <x v="1"/>
    <x v="0"/>
    <n v="102578"/>
    <n v="45619"/>
    <n v="637"/>
    <n v="2.23"/>
    <n v="4840"/>
    <n v="11.13"/>
    <x v="3"/>
    <x v="0"/>
    <n v="1"/>
  </r>
  <r>
    <x v="1"/>
    <x v="4"/>
    <n v="174827"/>
    <n v="7317"/>
    <n v="864"/>
    <n v="4.29"/>
    <n v="2656"/>
    <n v="23.16"/>
    <x v="2"/>
    <x v="0"/>
    <n v="2"/>
  </r>
  <r>
    <x v="0"/>
    <x v="2"/>
    <n v="50390"/>
    <n v="43856"/>
    <n v="275"/>
    <n v="1.23"/>
    <n v="16684"/>
    <n v="5.1100000000000003"/>
    <x v="0"/>
    <x v="2"/>
    <n v="6"/>
  </r>
  <r>
    <x v="1"/>
    <x v="0"/>
    <n v="33711"/>
    <n v="46714"/>
    <n v="324"/>
    <n v="2.67"/>
    <n v="8466"/>
    <n v="11.54"/>
    <x v="3"/>
    <x v="1"/>
    <n v="7"/>
  </r>
  <r>
    <x v="1"/>
    <x v="1"/>
    <n v="101658"/>
    <n v="27649"/>
    <n v="724"/>
    <n v="2.83"/>
    <n v="3080"/>
    <n v="10.41"/>
    <x v="1"/>
    <x v="2"/>
    <n v="3"/>
  </r>
  <r>
    <x v="3"/>
    <x v="4"/>
    <n v="67993"/>
    <n v="24132"/>
    <n v="50"/>
    <n v="3.9"/>
    <n v="7757"/>
    <n v="12.95"/>
    <x v="4"/>
    <x v="2"/>
    <n v="9"/>
  </r>
  <r>
    <x v="1"/>
    <x v="0"/>
    <n v="168285"/>
    <n v="17789"/>
    <n v="114"/>
    <n v="3.3"/>
    <n v="2659"/>
    <n v="23.45"/>
    <x v="3"/>
    <x v="2"/>
    <n v="7"/>
  </r>
  <r>
    <x v="2"/>
    <x v="3"/>
    <n v="198856"/>
    <n v="15567"/>
    <n v="910"/>
    <n v="3.67"/>
    <n v="16672"/>
    <n v="14.53"/>
    <x v="2"/>
    <x v="1"/>
    <n v="6"/>
  </r>
  <r>
    <x v="1"/>
    <x v="2"/>
    <n v="17421"/>
    <n v="15868"/>
    <n v="899"/>
    <n v="4.1100000000000003"/>
    <n v="14400"/>
    <n v="23.82"/>
    <x v="0"/>
    <x v="2"/>
    <n v="6"/>
  </r>
  <r>
    <x v="1"/>
    <x v="0"/>
    <n v="27727"/>
    <n v="25370"/>
    <n v="202"/>
    <n v="4.45"/>
    <n v="11940"/>
    <n v="17.29"/>
    <x v="4"/>
    <x v="0"/>
    <n v="1"/>
  </r>
  <r>
    <x v="0"/>
    <x v="4"/>
    <n v="122418"/>
    <n v="43533"/>
    <n v="410"/>
    <n v="2.2599999999999998"/>
    <n v="15178"/>
    <n v="10.26"/>
    <x v="3"/>
    <x v="0"/>
    <n v="5"/>
  </r>
  <r>
    <x v="2"/>
    <x v="3"/>
    <n v="14358"/>
    <n v="31483"/>
    <n v="287"/>
    <n v="3.15"/>
    <n v="14936"/>
    <n v="24.3"/>
    <x v="0"/>
    <x v="0"/>
    <n v="3"/>
  </r>
  <r>
    <x v="1"/>
    <x v="4"/>
    <n v="75108"/>
    <n v="13466"/>
    <n v="363"/>
    <n v="4.3600000000000003"/>
    <n v="12521"/>
    <n v="7.15"/>
    <x v="0"/>
    <x v="1"/>
    <n v="7"/>
  </r>
  <r>
    <x v="1"/>
    <x v="4"/>
    <n v="104018"/>
    <n v="29803"/>
    <n v="758"/>
    <n v="4.96"/>
    <n v="7272"/>
    <n v="6.73"/>
    <x v="0"/>
    <x v="2"/>
    <n v="3"/>
  </r>
  <r>
    <x v="3"/>
    <x v="3"/>
    <n v="134457"/>
    <n v="19230"/>
    <n v="946"/>
    <n v="4.5599999999999996"/>
    <n v="2127"/>
    <n v="15.14"/>
    <x v="2"/>
    <x v="1"/>
    <n v="5"/>
  </r>
  <r>
    <x v="1"/>
    <x v="4"/>
    <n v="173189"/>
    <n v="18862"/>
    <n v="742"/>
    <n v="2.4900000000000002"/>
    <n v="12164"/>
    <n v="7.83"/>
    <x v="1"/>
    <x v="2"/>
    <n v="7"/>
  </r>
  <r>
    <x v="1"/>
    <x v="3"/>
    <n v="41910"/>
    <n v="44355"/>
    <n v="589"/>
    <n v="1.78"/>
    <n v="8719"/>
    <n v="0.27"/>
    <x v="0"/>
    <x v="0"/>
    <n v="3"/>
  </r>
  <r>
    <x v="3"/>
    <x v="0"/>
    <n v="136888"/>
    <n v="32259"/>
    <n v="718"/>
    <n v="2.96"/>
    <n v="18869"/>
    <n v="19.45"/>
    <x v="4"/>
    <x v="2"/>
    <n v="2"/>
  </r>
  <r>
    <x v="0"/>
    <x v="3"/>
    <n v="65754"/>
    <n v="34539"/>
    <n v="265"/>
    <n v="3.97"/>
    <n v="10213"/>
    <n v="15.33"/>
    <x v="3"/>
    <x v="2"/>
    <n v="6"/>
  </r>
  <r>
    <x v="1"/>
    <x v="3"/>
    <n v="119847"/>
    <n v="22909"/>
    <n v="660"/>
    <n v="2.97"/>
    <n v="8988"/>
    <n v="13.37"/>
    <x v="4"/>
    <x v="2"/>
    <n v="8"/>
  </r>
  <r>
    <x v="3"/>
    <x v="2"/>
    <n v="170443"/>
    <n v="31795"/>
    <n v="833"/>
    <n v="2.93"/>
    <n v="2681"/>
    <n v="29.01"/>
    <x v="2"/>
    <x v="1"/>
    <n v="4"/>
  </r>
  <r>
    <x v="2"/>
    <x v="3"/>
    <n v="192573"/>
    <n v="9770"/>
    <n v="956"/>
    <n v="4.3499999999999996"/>
    <n v="12094"/>
    <n v="17.14"/>
    <x v="2"/>
    <x v="2"/>
    <n v="9"/>
  </r>
  <r>
    <x v="0"/>
    <x v="3"/>
    <n v="48467"/>
    <n v="12093"/>
    <n v="670"/>
    <n v="2.4500000000000002"/>
    <n v="19180"/>
    <n v="25.9"/>
    <x v="4"/>
    <x v="2"/>
    <n v="8"/>
  </r>
  <r>
    <x v="2"/>
    <x v="0"/>
    <n v="158697"/>
    <n v="47571"/>
    <n v="108"/>
    <n v="4.4400000000000004"/>
    <n v="7664"/>
    <n v="4.18"/>
    <x v="1"/>
    <x v="2"/>
    <n v="7"/>
  </r>
  <r>
    <x v="2"/>
    <x v="2"/>
    <n v="43893"/>
    <n v="1193"/>
    <n v="597"/>
    <n v="2.63"/>
    <n v="19481"/>
    <n v="17.079999999999998"/>
    <x v="2"/>
    <x v="1"/>
    <n v="7"/>
  </r>
  <r>
    <x v="3"/>
    <x v="1"/>
    <n v="86329"/>
    <n v="35775"/>
    <n v="291"/>
    <n v="2.31"/>
    <n v="1401"/>
    <n v="26.04"/>
    <x v="2"/>
    <x v="1"/>
    <n v="3"/>
  </r>
  <r>
    <x v="1"/>
    <x v="0"/>
    <n v="41007"/>
    <n v="18569"/>
    <n v="892"/>
    <n v="2.82"/>
    <n v="9790"/>
    <n v="17.489999999999998"/>
    <x v="4"/>
    <x v="1"/>
    <n v="6"/>
  </r>
  <r>
    <x v="3"/>
    <x v="0"/>
    <n v="180604"/>
    <n v="12190"/>
    <n v="412"/>
    <n v="4.05"/>
    <n v="18561"/>
    <n v="21.54"/>
    <x v="2"/>
    <x v="2"/>
    <n v="5"/>
  </r>
  <r>
    <x v="3"/>
    <x v="1"/>
    <n v="64253"/>
    <n v="43752"/>
    <n v="118"/>
    <n v="1.5"/>
    <n v="3381"/>
    <n v="11.16"/>
    <x v="1"/>
    <x v="0"/>
    <n v="1"/>
  </r>
  <r>
    <x v="3"/>
    <x v="3"/>
    <n v="22323"/>
    <n v="33327"/>
    <n v="709"/>
    <n v="1.79"/>
    <n v="13558"/>
    <n v="2.77"/>
    <x v="1"/>
    <x v="0"/>
    <n v="3"/>
  </r>
  <r>
    <x v="3"/>
    <x v="4"/>
    <n v="121335"/>
    <n v="43070"/>
    <n v="208"/>
    <n v="4.8099999999999996"/>
    <n v="6122"/>
    <n v="13.74"/>
    <x v="1"/>
    <x v="0"/>
    <n v="1"/>
  </r>
  <r>
    <x v="0"/>
    <x v="2"/>
    <n v="122356"/>
    <n v="21389"/>
    <n v="312"/>
    <n v="1.7"/>
    <n v="1878"/>
    <n v="11.83"/>
    <x v="3"/>
    <x v="2"/>
    <n v="4"/>
  </r>
  <r>
    <x v="1"/>
    <x v="4"/>
    <n v="120944"/>
    <n v="41197"/>
    <n v="336"/>
    <n v="3.27"/>
    <n v="18132"/>
    <n v="26.01"/>
    <x v="1"/>
    <x v="0"/>
    <n v="3"/>
  </r>
  <r>
    <x v="2"/>
    <x v="1"/>
    <n v="155282"/>
    <n v="3261"/>
    <n v="163"/>
    <n v="3.32"/>
    <n v="6150"/>
    <n v="7.32"/>
    <x v="1"/>
    <x v="0"/>
    <n v="4"/>
  </r>
  <r>
    <x v="2"/>
    <x v="0"/>
    <n v="26456"/>
    <n v="29369"/>
    <n v="561"/>
    <n v="2.96"/>
    <n v="12933"/>
    <n v="29"/>
    <x v="3"/>
    <x v="0"/>
    <n v="9"/>
  </r>
  <r>
    <x v="1"/>
    <x v="0"/>
    <n v="41367"/>
    <n v="27512"/>
    <n v="654"/>
    <n v="3.58"/>
    <n v="9956"/>
    <n v="28.74"/>
    <x v="0"/>
    <x v="2"/>
    <n v="3"/>
  </r>
  <r>
    <x v="2"/>
    <x v="2"/>
    <n v="64624"/>
    <n v="7716"/>
    <n v="414"/>
    <n v="1.92"/>
    <n v="7536"/>
    <n v="7.43"/>
    <x v="2"/>
    <x v="0"/>
    <n v="6"/>
  </r>
  <r>
    <x v="1"/>
    <x v="0"/>
    <n v="151178"/>
    <n v="22259"/>
    <n v="471"/>
    <n v="3.21"/>
    <n v="6987"/>
    <n v="10.44"/>
    <x v="1"/>
    <x v="0"/>
    <n v="6"/>
  </r>
  <r>
    <x v="2"/>
    <x v="0"/>
    <n v="78008"/>
    <n v="29933"/>
    <n v="141"/>
    <n v="2.4900000000000002"/>
    <n v="17942"/>
    <n v="26.87"/>
    <x v="2"/>
    <x v="2"/>
    <n v="7"/>
  </r>
  <r>
    <x v="3"/>
    <x v="2"/>
    <n v="135926"/>
    <n v="42689"/>
    <n v="800"/>
    <n v="3.65"/>
    <n v="18932"/>
    <n v="29"/>
    <x v="4"/>
    <x v="1"/>
    <n v="9"/>
  </r>
  <r>
    <x v="2"/>
    <x v="2"/>
    <n v="125395"/>
    <n v="5378"/>
    <n v="883"/>
    <n v="1.56"/>
    <n v="4748"/>
    <n v="13.3"/>
    <x v="2"/>
    <x v="0"/>
    <n v="7"/>
  </r>
  <r>
    <x v="1"/>
    <x v="1"/>
    <n v="126492"/>
    <n v="41583"/>
    <n v="93"/>
    <n v="3.28"/>
    <n v="19360"/>
    <n v="9.6300000000000008"/>
    <x v="3"/>
    <x v="1"/>
    <n v="1"/>
  </r>
  <r>
    <x v="1"/>
    <x v="0"/>
    <n v="82240"/>
    <n v="47546"/>
    <n v="408"/>
    <n v="1.74"/>
    <n v="5103"/>
    <n v="15.78"/>
    <x v="2"/>
    <x v="0"/>
    <n v="8"/>
  </r>
  <r>
    <x v="1"/>
    <x v="0"/>
    <n v="74315"/>
    <n v="20835"/>
    <n v="763"/>
    <n v="2.11"/>
    <n v="13132"/>
    <n v="20.63"/>
    <x v="2"/>
    <x v="2"/>
    <n v="5"/>
  </r>
  <r>
    <x v="1"/>
    <x v="1"/>
    <n v="20756"/>
    <n v="30033"/>
    <n v="637"/>
    <n v="1.87"/>
    <n v="720"/>
    <n v="8.1999999999999993"/>
    <x v="2"/>
    <x v="1"/>
    <n v="9"/>
  </r>
  <r>
    <x v="1"/>
    <x v="3"/>
    <n v="46378"/>
    <n v="25000"/>
    <n v="118"/>
    <n v="1.73"/>
    <n v="14726"/>
    <n v="22.09"/>
    <x v="0"/>
    <x v="1"/>
    <n v="5"/>
  </r>
  <r>
    <x v="0"/>
    <x v="3"/>
    <n v="145327"/>
    <n v="46496"/>
    <n v="230"/>
    <n v="4.3"/>
    <n v="5318"/>
    <n v="1.55"/>
    <x v="0"/>
    <x v="1"/>
    <n v="5"/>
  </r>
  <r>
    <x v="0"/>
    <x v="3"/>
    <n v="155556"/>
    <n v="11332"/>
    <n v="913"/>
    <n v="2.14"/>
    <n v="7849"/>
    <n v="1.48"/>
    <x v="4"/>
    <x v="1"/>
    <n v="2"/>
  </r>
  <r>
    <x v="2"/>
    <x v="1"/>
    <n v="135703"/>
    <n v="43604"/>
    <n v="562"/>
    <n v="4.71"/>
    <n v="6118"/>
    <n v="11.59"/>
    <x v="3"/>
    <x v="0"/>
    <n v="3"/>
  </r>
  <r>
    <x v="1"/>
    <x v="0"/>
    <n v="66549"/>
    <n v="3800"/>
    <n v="377"/>
    <n v="4.88"/>
    <n v="10356"/>
    <n v="10.6"/>
    <x v="2"/>
    <x v="0"/>
    <n v="9"/>
  </r>
  <r>
    <x v="2"/>
    <x v="1"/>
    <n v="175575"/>
    <n v="30538"/>
    <n v="156"/>
    <n v="3.29"/>
    <n v="5076"/>
    <n v="9.4700000000000006"/>
    <x v="2"/>
    <x v="1"/>
    <n v="7"/>
  </r>
  <r>
    <x v="1"/>
    <x v="1"/>
    <n v="83794"/>
    <n v="31119"/>
    <n v="121"/>
    <n v="1.57"/>
    <n v="18755"/>
    <n v="14.73"/>
    <x v="2"/>
    <x v="0"/>
    <n v="1"/>
  </r>
  <r>
    <x v="1"/>
    <x v="3"/>
    <n v="55113"/>
    <n v="9333"/>
    <n v="624"/>
    <n v="2.5"/>
    <n v="15707"/>
    <n v="9.6199999999999992"/>
    <x v="2"/>
    <x v="1"/>
    <n v="3"/>
  </r>
  <r>
    <x v="0"/>
    <x v="4"/>
    <n v="84069"/>
    <n v="6410"/>
    <n v="567"/>
    <n v="4.1900000000000004"/>
    <n v="1962"/>
    <n v="5.77"/>
    <x v="0"/>
    <x v="1"/>
    <n v="2"/>
  </r>
  <r>
    <x v="0"/>
    <x v="0"/>
    <n v="146321"/>
    <n v="18839"/>
    <n v="933"/>
    <n v="2.4700000000000002"/>
    <n v="16405"/>
    <n v="9.2799999999999994"/>
    <x v="4"/>
    <x v="2"/>
    <n v="1"/>
  </r>
  <r>
    <x v="3"/>
    <x v="3"/>
    <n v="160273"/>
    <n v="31519"/>
    <n v="503"/>
    <n v="1.35"/>
    <n v="16752"/>
    <n v="29.25"/>
    <x v="1"/>
    <x v="1"/>
    <n v="9"/>
  </r>
  <r>
    <x v="0"/>
    <x v="4"/>
    <n v="135541"/>
    <n v="6808"/>
    <n v="514"/>
    <n v="3.23"/>
    <n v="8736"/>
    <n v="12.33"/>
    <x v="3"/>
    <x v="0"/>
    <n v="8"/>
  </r>
  <r>
    <x v="3"/>
    <x v="4"/>
    <n v="199648"/>
    <n v="7796"/>
    <n v="484"/>
    <n v="4.38"/>
    <n v="8313"/>
    <n v="13.34"/>
    <x v="2"/>
    <x v="1"/>
    <n v="5"/>
  </r>
  <r>
    <x v="3"/>
    <x v="2"/>
    <n v="19686"/>
    <n v="22180"/>
    <n v="845"/>
    <n v="4.18"/>
    <n v="2568"/>
    <n v="17.3"/>
    <x v="4"/>
    <x v="2"/>
    <n v="2"/>
  </r>
  <r>
    <x v="3"/>
    <x v="0"/>
    <n v="63363"/>
    <n v="44056"/>
    <n v="899"/>
    <n v="1.7"/>
    <n v="6253"/>
    <n v="29.5"/>
    <x v="1"/>
    <x v="0"/>
    <n v="1"/>
  </r>
  <r>
    <x v="3"/>
    <x v="4"/>
    <n v="107543"/>
    <n v="18709"/>
    <n v="280"/>
    <n v="3.69"/>
    <n v="7737"/>
    <n v="7.25"/>
    <x v="4"/>
    <x v="2"/>
    <n v="7"/>
  </r>
  <r>
    <x v="3"/>
    <x v="3"/>
    <n v="141733"/>
    <n v="18543"/>
    <n v="430"/>
    <n v="1.88"/>
    <n v="14675"/>
    <n v="20.440000000000001"/>
    <x v="0"/>
    <x v="2"/>
    <n v="2"/>
  </r>
  <r>
    <x v="2"/>
    <x v="2"/>
    <n v="185915"/>
    <n v="38418"/>
    <n v="906"/>
    <n v="1.87"/>
    <n v="6691"/>
    <n v="21.48"/>
    <x v="1"/>
    <x v="1"/>
    <n v="1"/>
  </r>
  <r>
    <x v="0"/>
    <x v="0"/>
    <n v="105673"/>
    <n v="30075"/>
    <n v="716"/>
    <n v="4.5"/>
    <n v="18398"/>
    <n v="18.22"/>
    <x v="4"/>
    <x v="2"/>
    <n v="2"/>
  </r>
  <r>
    <x v="3"/>
    <x v="1"/>
    <n v="52828"/>
    <n v="38755"/>
    <n v="376"/>
    <n v="2"/>
    <n v="19482"/>
    <n v="2.66"/>
    <x v="0"/>
    <x v="2"/>
    <n v="7"/>
  </r>
  <r>
    <x v="1"/>
    <x v="3"/>
    <n v="58604"/>
    <n v="48968"/>
    <n v="289"/>
    <n v="2.0499999999999998"/>
    <n v="15122"/>
    <n v="20.309999999999999"/>
    <x v="4"/>
    <x v="0"/>
    <n v="7"/>
  </r>
  <r>
    <x v="0"/>
    <x v="4"/>
    <n v="20526"/>
    <n v="38465"/>
    <n v="292"/>
    <n v="1"/>
    <n v="1501"/>
    <n v="1.92"/>
    <x v="4"/>
    <x v="2"/>
    <n v="6"/>
  </r>
  <r>
    <x v="0"/>
    <x v="4"/>
    <n v="78910"/>
    <n v="31502"/>
    <n v="49"/>
    <n v="4.4800000000000004"/>
    <n v="17917"/>
    <n v="17.88"/>
    <x v="1"/>
    <x v="1"/>
    <n v="5"/>
  </r>
  <r>
    <x v="3"/>
    <x v="3"/>
    <n v="35592"/>
    <n v="17724"/>
    <n v="968"/>
    <n v="4.17"/>
    <n v="15377"/>
    <n v="22.19"/>
    <x v="0"/>
    <x v="1"/>
    <n v="3"/>
  </r>
  <r>
    <x v="2"/>
    <x v="4"/>
    <n v="38982"/>
    <n v="4828"/>
    <n v="198"/>
    <n v="3.51"/>
    <n v="10732"/>
    <n v="6.33"/>
    <x v="2"/>
    <x v="1"/>
    <n v="3"/>
  </r>
  <r>
    <x v="3"/>
    <x v="2"/>
    <n v="10207"/>
    <n v="18087"/>
    <n v="173"/>
    <n v="4"/>
    <n v="4976"/>
    <n v="25.25"/>
    <x v="3"/>
    <x v="2"/>
    <n v="9"/>
  </r>
  <r>
    <x v="2"/>
    <x v="0"/>
    <n v="98733"/>
    <n v="13605"/>
    <n v="998"/>
    <n v="1.61"/>
    <n v="17362"/>
    <n v="0.91"/>
    <x v="1"/>
    <x v="0"/>
    <n v="4"/>
  </r>
  <r>
    <x v="1"/>
    <x v="2"/>
    <n v="134982"/>
    <n v="32337"/>
    <n v="545"/>
    <n v="2.83"/>
    <n v="1015"/>
    <n v="25.31"/>
    <x v="0"/>
    <x v="1"/>
    <n v="9"/>
  </r>
  <r>
    <x v="0"/>
    <x v="4"/>
    <n v="78619"/>
    <n v="6482"/>
    <n v="545"/>
    <n v="2.4"/>
    <n v="12978"/>
    <n v="13.81"/>
    <x v="4"/>
    <x v="2"/>
    <n v="4"/>
  </r>
  <r>
    <x v="1"/>
    <x v="1"/>
    <n v="170400"/>
    <n v="28005"/>
    <n v="13"/>
    <n v="1.38"/>
    <n v="1691"/>
    <n v="6.53"/>
    <x v="0"/>
    <x v="1"/>
    <n v="2"/>
  </r>
  <r>
    <x v="2"/>
    <x v="0"/>
    <n v="56479"/>
    <n v="23760"/>
    <n v="844"/>
    <n v="2.94"/>
    <n v="11360"/>
    <n v="4.01"/>
    <x v="3"/>
    <x v="1"/>
    <n v="4"/>
  </r>
  <r>
    <x v="2"/>
    <x v="0"/>
    <n v="161175"/>
    <n v="6463"/>
    <n v="299"/>
    <n v="4.68"/>
    <n v="13948"/>
    <n v="28.6"/>
    <x v="3"/>
    <x v="0"/>
    <n v="6"/>
  </r>
  <r>
    <x v="1"/>
    <x v="3"/>
    <n v="180963"/>
    <n v="47628"/>
    <n v="962"/>
    <n v="1.1599999999999999"/>
    <n v="6797"/>
    <n v="2.1800000000000002"/>
    <x v="2"/>
    <x v="1"/>
    <n v="6"/>
  </r>
  <r>
    <x v="2"/>
    <x v="3"/>
    <n v="151826"/>
    <n v="5912"/>
    <n v="442"/>
    <n v="2.17"/>
    <n v="17155"/>
    <n v="5.97"/>
    <x v="2"/>
    <x v="0"/>
    <n v="5"/>
  </r>
  <r>
    <x v="1"/>
    <x v="1"/>
    <n v="91437"/>
    <n v="5648"/>
    <n v="480"/>
    <n v="1.83"/>
    <n v="8834"/>
    <n v="10.43"/>
    <x v="3"/>
    <x v="2"/>
    <n v="1"/>
  </r>
  <r>
    <x v="0"/>
    <x v="0"/>
    <n v="108540"/>
    <n v="34623"/>
    <n v="190"/>
    <n v="1.95"/>
    <n v="6508"/>
    <n v="18.61"/>
    <x v="1"/>
    <x v="1"/>
    <n v="3"/>
  </r>
  <r>
    <x v="1"/>
    <x v="1"/>
    <n v="82982"/>
    <n v="36634"/>
    <n v="257"/>
    <n v="4.63"/>
    <n v="8487"/>
    <n v="16.34"/>
    <x v="1"/>
    <x v="2"/>
    <n v="5"/>
  </r>
  <r>
    <x v="0"/>
    <x v="3"/>
    <n v="112747"/>
    <n v="45602"/>
    <n v="637"/>
    <n v="2.87"/>
    <n v="3832"/>
    <n v="3.77"/>
    <x v="4"/>
    <x v="2"/>
    <n v="6"/>
  </r>
  <r>
    <x v="1"/>
    <x v="3"/>
    <n v="196994"/>
    <n v="4112"/>
    <n v="288"/>
    <n v="2.87"/>
    <n v="1287"/>
    <n v="8.69"/>
    <x v="2"/>
    <x v="2"/>
    <n v="1"/>
  </r>
  <r>
    <x v="2"/>
    <x v="0"/>
    <n v="58231"/>
    <n v="23054"/>
    <n v="886"/>
    <n v="4.04"/>
    <n v="6722"/>
    <n v="7.16"/>
    <x v="4"/>
    <x v="1"/>
    <n v="9"/>
  </r>
  <r>
    <x v="1"/>
    <x v="2"/>
    <n v="39301"/>
    <n v="5492"/>
    <n v="590"/>
    <n v="1.62"/>
    <n v="10373"/>
    <n v="6.41"/>
    <x v="2"/>
    <x v="0"/>
    <n v="3"/>
  </r>
  <r>
    <x v="2"/>
    <x v="4"/>
    <n v="182395"/>
    <n v="23207"/>
    <n v="872"/>
    <n v="2.95"/>
    <n v="17506"/>
    <n v="12.33"/>
    <x v="3"/>
    <x v="1"/>
    <n v="3"/>
  </r>
  <r>
    <x v="1"/>
    <x v="3"/>
    <n v="28752"/>
    <n v="16114"/>
    <n v="263"/>
    <n v="2.72"/>
    <n v="4176"/>
    <n v="21.12"/>
    <x v="1"/>
    <x v="2"/>
    <n v="2"/>
  </r>
  <r>
    <x v="1"/>
    <x v="3"/>
    <n v="108452"/>
    <n v="35285"/>
    <n v="190"/>
    <n v="3.39"/>
    <n v="3072"/>
    <n v="6.52"/>
    <x v="1"/>
    <x v="0"/>
    <n v="8"/>
  </r>
  <r>
    <x v="3"/>
    <x v="2"/>
    <n v="154467"/>
    <n v="17018"/>
    <n v="839"/>
    <n v="5"/>
    <n v="7415"/>
    <n v="11"/>
    <x v="3"/>
    <x v="2"/>
    <n v="3"/>
  </r>
  <r>
    <x v="2"/>
    <x v="2"/>
    <n v="131237"/>
    <n v="22386"/>
    <n v="690"/>
    <n v="4.08"/>
    <n v="5533"/>
    <n v="11.73"/>
    <x v="4"/>
    <x v="0"/>
    <n v="6"/>
  </r>
  <r>
    <x v="3"/>
    <x v="1"/>
    <n v="66273"/>
    <n v="18740"/>
    <n v="834"/>
    <n v="2.59"/>
    <n v="8288"/>
    <n v="29.29"/>
    <x v="4"/>
    <x v="1"/>
    <n v="2"/>
  </r>
  <r>
    <x v="2"/>
    <x v="1"/>
    <n v="101878"/>
    <n v="45199"/>
    <n v="518"/>
    <n v="4.3099999999999996"/>
    <n v="16189"/>
    <n v="28.64"/>
    <x v="0"/>
    <x v="0"/>
    <n v="7"/>
  </r>
  <r>
    <x v="3"/>
    <x v="4"/>
    <n v="14895"/>
    <n v="9210"/>
    <n v="770"/>
    <n v="1.68"/>
    <n v="11952"/>
    <n v="24"/>
    <x v="2"/>
    <x v="1"/>
    <n v="4"/>
  </r>
  <r>
    <x v="0"/>
    <x v="4"/>
    <n v="129968"/>
    <n v="45363"/>
    <n v="709"/>
    <n v="1.1200000000000001"/>
    <n v="5212"/>
    <n v="7.25"/>
    <x v="4"/>
    <x v="2"/>
    <n v="9"/>
  </r>
  <r>
    <x v="1"/>
    <x v="0"/>
    <n v="125700"/>
    <n v="46639"/>
    <n v="575"/>
    <n v="1.82"/>
    <n v="566"/>
    <n v="2.04"/>
    <x v="3"/>
    <x v="0"/>
    <n v="9"/>
  </r>
  <r>
    <x v="2"/>
    <x v="1"/>
    <n v="86559"/>
    <n v="13743"/>
    <n v="335"/>
    <n v="2.36"/>
    <n v="16355"/>
    <n v="9.51"/>
    <x v="4"/>
    <x v="2"/>
    <n v="7"/>
  </r>
  <r>
    <x v="2"/>
    <x v="3"/>
    <n v="20699"/>
    <n v="43092"/>
    <n v="366"/>
    <n v="3.04"/>
    <n v="12978"/>
    <n v="8"/>
    <x v="1"/>
    <x v="0"/>
    <n v="8"/>
  </r>
  <r>
    <x v="1"/>
    <x v="1"/>
    <n v="19715"/>
    <n v="45299"/>
    <n v="834"/>
    <n v="3.46"/>
    <n v="8033"/>
    <n v="15.18"/>
    <x v="2"/>
    <x v="1"/>
    <n v="3"/>
  </r>
  <r>
    <x v="2"/>
    <x v="3"/>
    <n v="29169"/>
    <n v="7588"/>
    <n v="659"/>
    <n v="4.6399999999999997"/>
    <n v="15603"/>
    <n v="23.33"/>
    <x v="0"/>
    <x v="0"/>
    <n v="5"/>
  </r>
  <r>
    <x v="2"/>
    <x v="2"/>
    <n v="128413"/>
    <n v="4311"/>
    <n v="689"/>
    <n v="3.04"/>
    <n v="5116"/>
    <n v="25.75"/>
    <x v="2"/>
    <x v="0"/>
    <n v="2"/>
  </r>
  <r>
    <x v="3"/>
    <x v="1"/>
    <n v="157235"/>
    <n v="23432"/>
    <n v="400"/>
    <n v="3.01"/>
    <n v="13777"/>
    <n v="25.35"/>
    <x v="1"/>
    <x v="1"/>
    <n v="7"/>
  </r>
  <r>
    <x v="2"/>
    <x v="2"/>
    <n v="129264"/>
    <n v="34755"/>
    <n v="624"/>
    <n v="1.2"/>
    <n v="18024"/>
    <n v="10.79"/>
    <x v="1"/>
    <x v="1"/>
    <n v="8"/>
  </r>
  <r>
    <x v="0"/>
    <x v="4"/>
    <n v="15782"/>
    <n v="4321"/>
    <n v="943"/>
    <n v="1.1399999999999999"/>
    <n v="6230"/>
    <n v="20.62"/>
    <x v="1"/>
    <x v="1"/>
    <n v="9"/>
  </r>
  <r>
    <x v="0"/>
    <x v="4"/>
    <n v="134481"/>
    <n v="16812"/>
    <n v="94"/>
    <n v="3.2"/>
    <n v="11224"/>
    <n v="9.39"/>
    <x v="1"/>
    <x v="0"/>
    <n v="7"/>
  </r>
  <r>
    <x v="1"/>
    <x v="0"/>
    <n v="45585"/>
    <n v="38383"/>
    <n v="326"/>
    <n v="2.75"/>
    <n v="12272"/>
    <n v="1.83"/>
    <x v="3"/>
    <x v="2"/>
    <n v="8"/>
  </r>
  <r>
    <x v="2"/>
    <x v="1"/>
    <n v="40682"/>
    <n v="49280"/>
    <n v="221"/>
    <n v="4.3600000000000003"/>
    <n v="16768"/>
    <n v="21.05"/>
    <x v="0"/>
    <x v="0"/>
    <n v="9"/>
  </r>
  <r>
    <x v="1"/>
    <x v="2"/>
    <n v="188936"/>
    <n v="14146"/>
    <n v="524"/>
    <n v="1.64"/>
    <n v="13440"/>
    <n v="0.28999999999999998"/>
    <x v="1"/>
    <x v="0"/>
    <n v="6"/>
  </r>
  <r>
    <x v="0"/>
    <x v="3"/>
    <n v="139992"/>
    <n v="14654"/>
    <n v="393"/>
    <n v="1.1000000000000001"/>
    <n v="17432"/>
    <n v="12.28"/>
    <x v="1"/>
    <x v="2"/>
    <n v="2"/>
  </r>
  <r>
    <x v="2"/>
    <x v="4"/>
    <n v="94416"/>
    <n v="36820"/>
    <n v="700"/>
    <n v="2.8"/>
    <n v="15143"/>
    <n v="9.8800000000000008"/>
    <x v="4"/>
    <x v="1"/>
    <n v="2"/>
  </r>
  <r>
    <x v="2"/>
    <x v="4"/>
    <n v="196186"/>
    <n v="1726"/>
    <n v="351"/>
    <n v="1.95"/>
    <n v="698"/>
    <n v="20.8"/>
    <x v="0"/>
    <x v="0"/>
    <n v="4"/>
  </r>
  <r>
    <x v="1"/>
    <x v="3"/>
    <n v="137810"/>
    <n v="4760"/>
    <n v="824"/>
    <n v="1.2"/>
    <n v="17455"/>
    <n v="22.99"/>
    <x v="2"/>
    <x v="2"/>
    <n v="9"/>
  </r>
  <r>
    <x v="0"/>
    <x v="2"/>
    <n v="48067"/>
    <n v="23190"/>
    <n v="973"/>
    <n v="3.9"/>
    <n v="17674"/>
    <n v="9.1199999999999992"/>
    <x v="0"/>
    <x v="1"/>
    <n v="7"/>
  </r>
  <r>
    <x v="2"/>
    <x v="2"/>
    <n v="183757"/>
    <n v="2875"/>
    <n v="997"/>
    <n v="1.45"/>
    <n v="10330"/>
    <n v="24.35"/>
    <x v="0"/>
    <x v="1"/>
    <n v="2"/>
  </r>
  <r>
    <x v="1"/>
    <x v="1"/>
    <n v="28073"/>
    <n v="24377"/>
    <n v="853"/>
    <n v="3.43"/>
    <n v="14298"/>
    <n v="8.82"/>
    <x v="0"/>
    <x v="0"/>
    <n v="8"/>
  </r>
  <r>
    <x v="0"/>
    <x v="1"/>
    <n v="46035"/>
    <n v="47737"/>
    <n v="47"/>
    <n v="2.12"/>
    <n v="18058"/>
    <n v="13.39"/>
    <x v="1"/>
    <x v="1"/>
    <n v="7"/>
  </r>
  <r>
    <x v="1"/>
    <x v="0"/>
    <n v="100373"/>
    <n v="5033"/>
    <n v="520"/>
    <n v="1.69"/>
    <n v="11969"/>
    <n v="21.81"/>
    <x v="1"/>
    <x v="1"/>
    <n v="9"/>
  </r>
  <r>
    <x v="3"/>
    <x v="4"/>
    <n v="93362"/>
    <n v="39211"/>
    <n v="429"/>
    <n v="2.52"/>
    <n v="678"/>
    <n v="20.79"/>
    <x v="3"/>
    <x v="2"/>
    <n v="8"/>
  </r>
  <r>
    <x v="2"/>
    <x v="1"/>
    <n v="100517"/>
    <n v="18373"/>
    <n v="760"/>
    <n v="4.21"/>
    <n v="19128"/>
    <n v="29.62"/>
    <x v="2"/>
    <x v="2"/>
    <n v="3"/>
  </r>
  <r>
    <x v="3"/>
    <x v="2"/>
    <n v="75450"/>
    <n v="4744"/>
    <n v="178"/>
    <n v="2.57"/>
    <n v="17618"/>
    <n v="6.75"/>
    <x v="4"/>
    <x v="1"/>
    <n v="1"/>
  </r>
  <r>
    <x v="0"/>
    <x v="3"/>
    <n v="20382"/>
    <n v="25995"/>
    <n v="974"/>
    <n v="4"/>
    <n v="1298"/>
    <n v="19.87"/>
    <x v="0"/>
    <x v="2"/>
    <n v="2"/>
  </r>
  <r>
    <x v="3"/>
    <x v="2"/>
    <n v="145509"/>
    <n v="17977"/>
    <n v="918"/>
    <n v="1.5"/>
    <n v="8101"/>
    <n v="18.29"/>
    <x v="2"/>
    <x v="1"/>
    <n v="2"/>
  </r>
  <r>
    <x v="3"/>
    <x v="4"/>
    <n v="71929"/>
    <n v="33402"/>
    <n v="352"/>
    <n v="4.09"/>
    <n v="3295"/>
    <n v="27.45"/>
    <x v="2"/>
    <x v="0"/>
    <n v="4"/>
  </r>
  <r>
    <x v="0"/>
    <x v="2"/>
    <n v="108864"/>
    <n v="35542"/>
    <n v="835"/>
    <n v="1.95"/>
    <n v="12996"/>
    <n v="4.6900000000000004"/>
    <x v="3"/>
    <x v="2"/>
    <n v="6"/>
  </r>
  <r>
    <x v="1"/>
    <x v="0"/>
    <n v="153401"/>
    <n v="11651"/>
    <n v="315"/>
    <n v="3.71"/>
    <n v="5088"/>
    <n v="22.55"/>
    <x v="4"/>
    <x v="1"/>
    <n v="4"/>
  </r>
  <r>
    <x v="3"/>
    <x v="4"/>
    <n v="35169"/>
    <n v="34703"/>
    <n v="551"/>
    <n v="3.26"/>
    <n v="7797"/>
    <n v="17.05"/>
    <x v="0"/>
    <x v="1"/>
    <n v="9"/>
  </r>
  <r>
    <x v="1"/>
    <x v="3"/>
    <n v="97468"/>
    <n v="14395"/>
    <n v="711"/>
    <n v="4.72"/>
    <n v="3584"/>
    <n v="8.24"/>
    <x v="4"/>
    <x v="2"/>
    <n v="4"/>
  </r>
  <r>
    <x v="3"/>
    <x v="0"/>
    <n v="44594"/>
    <n v="30808"/>
    <n v="878"/>
    <n v="2.5499999999999998"/>
    <n v="11610"/>
    <n v="14.23"/>
    <x v="3"/>
    <x v="2"/>
    <n v="6"/>
  </r>
  <r>
    <x v="1"/>
    <x v="4"/>
    <n v="55033"/>
    <n v="37576"/>
    <n v="546"/>
    <n v="1.26"/>
    <n v="1231"/>
    <n v="10.01"/>
    <x v="1"/>
    <x v="0"/>
    <n v="6"/>
  </r>
  <r>
    <x v="0"/>
    <x v="3"/>
    <n v="73133"/>
    <n v="17715"/>
    <n v="121"/>
    <n v="1.08"/>
    <n v="1629"/>
    <n v="17.38"/>
    <x v="2"/>
    <x v="1"/>
    <n v="1"/>
  </r>
  <r>
    <x v="3"/>
    <x v="0"/>
    <n v="83861"/>
    <n v="45409"/>
    <n v="420"/>
    <n v="4.3099999999999996"/>
    <n v="2105"/>
    <n v="26.67"/>
    <x v="0"/>
    <x v="0"/>
    <n v="8"/>
  </r>
  <r>
    <x v="0"/>
    <x v="0"/>
    <n v="193362"/>
    <n v="25306"/>
    <n v="956"/>
    <n v="3.1"/>
    <n v="12470"/>
    <n v="17.079999999999998"/>
    <x v="1"/>
    <x v="0"/>
    <n v="3"/>
  </r>
  <r>
    <x v="3"/>
    <x v="4"/>
    <n v="41750"/>
    <n v="20086"/>
    <n v="215"/>
    <n v="4.0999999999999996"/>
    <n v="11437"/>
    <n v="18.95"/>
    <x v="3"/>
    <x v="0"/>
    <n v="6"/>
  </r>
  <r>
    <x v="0"/>
    <x v="1"/>
    <n v="50461"/>
    <n v="15376"/>
    <n v="194"/>
    <n v="1.94"/>
    <n v="11862"/>
    <n v="15.56"/>
    <x v="4"/>
    <x v="2"/>
    <n v="3"/>
  </r>
  <r>
    <x v="0"/>
    <x v="0"/>
    <n v="88222"/>
    <n v="6889"/>
    <n v="391"/>
    <n v="2.38"/>
    <n v="3433"/>
    <n v="1.53"/>
    <x v="2"/>
    <x v="0"/>
    <n v="2"/>
  </r>
  <r>
    <x v="3"/>
    <x v="0"/>
    <n v="122020"/>
    <n v="38822"/>
    <n v="505"/>
    <n v="1.1200000000000001"/>
    <n v="15687"/>
    <n v="6.99"/>
    <x v="0"/>
    <x v="2"/>
    <n v="5"/>
  </r>
  <r>
    <x v="3"/>
    <x v="3"/>
    <n v="34226"/>
    <n v="37636"/>
    <n v="388"/>
    <n v="4.8499999999999996"/>
    <n v="5574"/>
    <n v="14.76"/>
    <x v="1"/>
    <x v="2"/>
    <n v="1"/>
  </r>
  <r>
    <x v="3"/>
    <x v="2"/>
    <n v="16721"/>
    <n v="21584"/>
    <n v="56"/>
    <n v="3.67"/>
    <n v="14537"/>
    <n v="9.31"/>
    <x v="1"/>
    <x v="0"/>
    <n v="9"/>
  </r>
  <r>
    <x v="2"/>
    <x v="4"/>
    <n v="197226"/>
    <n v="35610"/>
    <n v="895"/>
    <n v="4.7300000000000004"/>
    <n v="7599"/>
    <n v="5.45"/>
    <x v="2"/>
    <x v="0"/>
    <n v="7"/>
  </r>
  <r>
    <x v="1"/>
    <x v="4"/>
    <n v="30609"/>
    <n v="11058"/>
    <n v="749"/>
    <n v="2.06"/>
    <n v="18374"/>
    <n v="15.12"/>
    <x v="4"/>
    <x v="1"/>
    <n v="3"/>
  </r>
  <r>
    <x v="2"/>
    <x v="1"/>
    <n v="193202"/>
    <n v="10101"/>
    <n v="560"/>
    <n v="3.45"/>
    <n v="1393"/>
    <n v="9.68"/>
    <x v="3"/>
    <x v="0"/>
    <n v="4"/>
  </r>
  <r>
    <x v="2"/>
    <x v="1"/>
    <n v="140513"/>
    <n v="13497"/>
    <n v="537"/>
    <n v="3.71"/>
    <n v="1890"/>
    <n v="7.74"/>
    <x v="4"/>
    <x v="1"/>
    <n v="6"/>
  </r>
  <r>
    <x v="0"/>
    <x v="4"/>
    <n v="114211"/>
    <n v="5658"/>
    <n v="513"/>
    <n v="2.27"/>
    <n v="4739"/>
    <n v="13.92"/>
    <x v="4"/>
    <x v="0"/>
    <n v="3"/>
  </r>
  <r>
    <x v="3"/>
    <x v="1"/>
    <n v="196321"/>
    <n v="12381"/>
    <n v="31"/>
    <n v="4.3899999999999997"/>
    <n v="19147"/>
    <n v="4"/>
    <x v="4"/>
    <x v="0"/>
    <n v="7"/>
  </r>
  <r>
    <x v="1"/>
    <x v="3"/>
    <n v="189967"/>
    <n v="41312"/>
    <n v="222"/>
    <n v="4.79"/>
    <n v="3932"/>
    <n v="27.83"/>
    <x v="2"/>
    <x v="0"/>
    <n v="6"/>
  </r>
  <r>
    <x v="0"/>
    <x v="4"/>
    <n v="146728"/>
    <n v="41486"/>
    <n v="319"/>
    <n v="4.54"/>
    <n v="2871"/>
    <n v="26.03"/>
    <x v="2"/>
    <x v="0"/>
    <n v="9"/>
  </r>
  <r>
    <x v="2"/>
    <x v="1"/>
    <n v="134865"/>
    <n v="47619"/>
    <n v="670"/>
    <n v="3.96"/>
    <n v="2015"/>
    <n v="21.23"/>
    <x v="3"/>
    <x v="1"/>
    <n v="5"/>
  </r>
  <r>
    <x v="3"/>
    <x v="4"/>
    <n v="84520"/>
    <n v="18154"/>
    <n v="977"/>
    <n v="2.11"/>
    <n v="16406"/>
    <n v="3.19"/>
    <x v="4"/>
    <x v="1"/>
    <n v="4"/>
  </r>
  <r>
    <x v="0"/>
    <x v="2"/>
    <n v="74309"/>
    <n v="20539"/>
    <n v="762"/>
    <n v="2.13"/>
    <n v="6826"/>
    <n v="23.28"/>
    <x v="2"/>
    <x v="0"/>
    <n v="3"/>
  </r>
  <r>
    <x v="3"/>
    <x v="0"/>
    <n v="39984"/>
    <n v="12777"/>
    <n v="281"/>
    <n v="4.8499999999999996"/>
    <n v="15105"/>
    <n v="24.24"/>
    <x v="3"/>
    <x v="0"/>
    <n v="1"/>
  </r>
  <r>
    <x v="0"/>
    <x v="4"/>
    <n v="128947"/>
    <n v="35396"/>
    <n v="580"/>
    <n v="1.04"/>
    <n v="6086"/>
    <n v="23.03"/>
    <x v="3"/>
    <x v="1"/>
    <n v="3"/>
  </r>
  <r>
    <x v="3"/>
    <x v="0"/>
    <n v="15901"/>
    <n v="31373"/>
    <n v="808"/>
    <n v="3.86"/>
    <n v="3417"/>
    <n v="3.42"/>
    <x v="4"/>
    <x v="2"/>
    <n v="3"/>
  </r>
  <r>
    <x v="2"/>
    <x v="1"/>
    <n v="172624"/>
    <n v="34154"/>
    <n v="947"/>
    <n v="3.82"/>
    <n v="16401"/>
    <n v="19.32"/>
    <x v="0"/>
    <x v="2"/>
    <n v="7"/>
  </r>
  <r>
    <x v="1"/>
    <x v="0"/>
    <n v="41055"/>
    <n v="7031"/>
    <n v="211"/>
    <n v="3.49"/>
    <n v="18051"/>
    <n v="25.03"/>
    <x v="4"/>
    <x v="2"/>
    <n v="7"/>
  </r>
  <r>
    <x v="2"/>
    <x v="4"/>
    <n v="178757"/>
    <n v="28997"/>
    <n v="41"/>
    <n v="4.96"/>
    <n v="4293"/>
    <n v="17.32"/>
    <x v="0"/>
    <x v="1"/>
    <n v="1"/>
  </r>
  <r>
    <x v="1"/>
    <x v="2"/>
    <n v="155788"/>
    <n v="7439"/>
    <n v="452"/>
    <n v="2.25"/>
    <n v="10447"/>
    <n v="19.39"/>
    <x v="3"/>
    <x v="1"/>
    <n v="3"/>
  </r>
  <r>
    <x v="3"/>
    <x v="1"/>
    <n v="124099"/>
    <n v="23785"/>
    <n v="171"/>
    <n v="2.36"/>
    <n v="16359"/>
    <n v="13.75"/>
    <x v="2"/>
    <x v="2"/>
    <n v="8"/>
  </r>
  <r>
    <x v="0"/>
    <x v="4"/>
    <n v="21138"/>
    <n v="14392"/>
    <n v="776"/>
    <n v="1.32"/>
    <n v="2077"/>
    <n v="15.86"/>
    <x v="1"/>
    <x v="2"/>
    <n v="9"/>
  </r>
  <r>
    <x v="2"/>
    <x v="1"/>
    <n v="176370"/>
    <n v="29669"/>
    <n v="263"/>
    <n v="2.77"/>
    <n v="9988"/>
    <n v="1.03"/>
    <x v="3"/>
    <x v="0"/>
    <n v="7"/>
  </r>
  <r>
    <x v="1"/>
    <x v="3"/>
    <n v="192184"/>
    <n v="29939"/>
    <n v="530"/>
    <n v="2.04"/>
    <n v="19104"/>
    <n v="19.170000000000002"/>
    <x v="2"/>
    <x v="1"/>
    <n v="7"/>
  </r>
  <r>
    <x v="2"/>
    <x v="0"/>
    <n v="33429"/>
    <n v="3282"/>
    <n v="986"/>
    <n v="2.37"/>
    <n v="9664"/>
    <n v="2.44"/>
    <x v="3"/>
    <x v="1"/>
    <n v="8"/>
  </r>
  <r>
    <x v="1"/>
    <x v="3"/>
    <n v="60200"/>
    <n v="35624"/>
    <n v="660"/>
    <n v="4.34"/>
    <n v="1530"/>
    <n v="13.05"/>
    <x v="4"/>
    <x v="2"/>
    <n v="6"/>
  </r>
  <r>
    <x v="2"/>
    <x v="4"/>
    <n v="189316"/>
    <n v="49438"/>
    <n v="489"/>
    <n v="4.74"/>
    <n v="16381"/>
    <n v="8.7799999999999994"/>
    <x v="0"/>
    <x v="2"/>
    <n v="3"/>
  </r>
  <r>
    <x v="1"/>
    <x v="2"/>
    <n v="111268"/>
    <n v="25364"/>
    <n v="19"/>
    <n v="1.74"/>
    <n v="11285"/>
    <n v="16.36"/>
    <x v="3"/>
    <x v="1"/>
    <n v="1"/>
  </r>
  <r>
    <x v="1"/>
    <x v="1"/>
    <n v="27347"/>
    <n v="2998"/>
    <n v="735"/>
    <n v="2.4900000000000002"/>
    <n v="7191"/>
    <n v="4"/>
    <x v="2"/>
    <x v="0"/>
    <n v="7"/>
  </r>
  <r>
    <x v="3"/>
    <x v="0"/>
    <n v="157992"/>
    <n v="32705"/>
    <n v="514"/>
    <n v="4.71"/>
    <n v="17797"/>
    <n v="20.75"/>
    <x v="4"/>
    <x v="2"/>
    <n v="1"/>
  </r>
  <r>
    <x v="1"/>
    <x v="1"/>
    <n v="41822"/>
    <n v="39244"/>
    <n v="794"/>
    <n v="1.25"/>
    <n v="6858"/>
    <n v="23.85"/>
    <x v="1"/>
    <x v="1"/>
    <n v="1"/>
  </r>
  <r>
    <x v="3"/>
    <x v="4"/>
    <n v="187731"/>
    <n v="10428"/>
    <n v="845"/>
    <n v="1.37"/>
    <n v="19065"/>
    <n v="4.9000000000000004"/>
    <x v="4"/>
    <x v="1"/>
    <n v="9"/>
  </r>
  <r>
    <x v="1"/>
    <x v="1"/>
    <n v="50108"/>
    <n v="38437"/>
    <n v="569"/>
    <n v="1.65"/>
    <n v="1962"/>
    <n v="3.13"/>
    <x v="0"/>
    <x v="0"/>
    <n v="7"/>
  </r>
  <r>
    <x v="0"/>
    <x v="0"/>
    <n v="138955"/>
    <n v="13336"/>
    <n v="445"/>
    <n v="3.38"/>
    <n v="16011"/>
    <n v="4.37"/>
    <x v="4"/>
    <x v="0"/>
    <n v="4"/>
  </r>
  <r>
    <x v="0"/>
    <x v="4"/>
    <n v="17967"/>
    <n v="10342"/>
    <n v="120"/>
    <n v="1.6"/>
    <n v="11070"/>
    <n v="26.31"/>
    <x v="1"/>
    <x v="2"/>
    <n v="6"/>
  </r>
  <r>
    <x v="0"/>
    <x v="1"/>
    <n v="120719"/>
    <n v="40832"/>
    <n v="162"/>
    <n v="4.87"/>
    <n v="16397"/>
    <n v="15.85"/>
    <x v="2"/>
    <x v="2"/>
    <n v="1"/>
  </r>
  <r>
    <x v="1"/>
    <x v="2"/>
    <n v="21871"/>
    <n v="8446"/>
    <n v="644"/>
    <n v="2.79"/>
    <n v="12146"/>
    <n v="14.02"/>
    <x v="3"/>
    <x v="2"/>
    <n v="7"/>
  </r>
  <r>
    <x v="3"/>
    <x v="4"/>
    <n v="174685"/>
    <n v="39392"/>
    <n v="926"/>
    <n v="3.01"/>
    <n v="15974"/>
    <n v="3.2"/>
    <x v="0"/>
    <x v="1"/>
    <n v="6"/>
  </r>
  <r>
    <x v="3"/>
    <x v="4"/>
    <n v="38179"/>
    <n v="8461"/>
    <n v="878"/>
    <n v="1.99"/>
    <n v="7537"/>
    <n v="19.489999999999998"/>
    <x v="1"/>
    <x v="2"/>
    <n v="4"/>
  </r>
  <r>
    <x v="1"/>
    <x v="2"/>
    <n v="193260"/>
    <n v="35587"/>
    <n v="111"/>
    <n v="2.88"/>
    <n v="9999"/>
    <n v="26.04"/>
    <x v="0"/>
    <x v="1"/>
    <n v="7"/>
  </r>
  <r>
    <x v="0"/>
    <x v="3"/>
    <n v="65099"/>
    <n v="11516"/>
    <n v="762"/>
    <n v="3.65"/>
    <n v="13886"/>
    <n v="24.85"/>
    <x v="4"/>
    <x v="2"/>
    <n v="3"/>
  </r>
  <r>
    <x v="0"/>
    <x v="0"/>
    <n v="45262"/>
    <n v="14749"/>
    <n v="842"/>
    <n v="4"/>
    <n v="6721"/>
    <n v="18.78"/>
    <x v="0"/>
    <x v="0"/>
    <n v="1"/>
  </r>
  <r>
    <x v="3"/>
    <x v="3"/>
    <n v="88213"/>
    <n v="18514"/>
    <n v="200"/>
    <n v="4.0199999999999996"/>
    <n v="8269"/>
    <n v="2.2599999999999998"/>
    <x v="1"/>
    <x v="0"/>
    <n v="4"/>
  </r>
  <r>
    <x v="0"/>
    <x v="1"/>
    <n v="127407"/>
    <n v="36426"/>
    <n v="738"/>
    <n v="3.31"/>
    <n v="17571"/>
    <n v="3.37"/>
    <x v="3"/>
    <x v="1"/>
    <n v="3"/>
  </r>
  <r>
    <x v="2"/>
    <x v="2"/>
    <n v="159340"/>
    <n v="37268"/>
    <n v="572"/>
    <n v="4.62"/>
    <n v="14856"/>
    <n v="1.48"/>
    <x v="3"/>
    <x v="0"/>
    <n v="1"/>
  </r>
  <r>
    <x v="3"/>
    <x v="3"/>
    <n v="96269"/>
    <n v="25950"/>
    <n v="813"/>
    <n v="4.2699999999999996"/>
    <n v="18778"/>
    <n v="7.72"/>
    <x v="0"/>
    <x v="1"/>
    <n v="2"/>
  </r>
  <r>
    <x v="0"/>
    <x v="4"/>
    <n v="70545"/>
    <n v="35888"/>
    <n v="90"/>
    <n v="4.03"/>
    <n v="7889"/>
    <n v="4.07"/>
    <x v="2"/>
    <x v="1"/>
    <n v="5"/>
  </r>
  <r>
    <x v="3"/>
    <x v="1"/>
    <n v="49922"/>
    <n v="37788"/>
    <n v="498"/>
    <n v="1.22"/>
    <n v="5422"/>
    <n v="7.8"/>
    <x v="0"/>
    <x v="0"/>
    <n v="8"/>
  </r>
  <r>
    <x v="2"/>
    <x v="1"/>
    <n v="52913"/>
    <n v="11213"/>
    <n v="904"/>
    <n v="1.03"/>
    <n v="14139"/>
    <n v="11.55"/>
    <x v="4"/>
    <x v="1"/>
    <n v="1"/>
  </r>
  <r>
    <x v="3"/>
    <x v="3"/>
    <n v="107033"/>
    <n v="37027"/>
    <n v="97"/>
    <n v="1.85"/>
    <n v="10503"/>
    <n v="28.29"/>
    <x v="3"/>
    <x v="0"/>
    <n v="4"/>
  </r>
  <r>
    <x v="3"/>
    <x v="3"/>
    <n v="114792"/>
    <n v="29011"/>
    <n v="203"/>
    <n v="3.65"/>
    <n v="5678"/>
    <n v="18.309999999999999"/>
    <x v="3"/>
    <x v="2"/>
    <n v="4"/>
  </r>
  <r>
    <x v="3"/>
    <x v="2"/>
    <n v="196749"/>
    <n v="43849"/>
    <n v="113"/>
    <n v="2.64"/>
    <n v="15740"/>
    <n v="25.05"/>
    <x v="3"/>
    <x v="2"/>
    <n v="5"/>
  </r>
  <r>
    <x v="3"/>
    <x v="0"/>
    <n v="190913"/>
    <n v="35591"/>
    <n v="792"/>
    <n v="2.61"/>
    <n v="4468"/>
    <n v="21.31"/>
    <x v="2"/>
    <x v="0"/>
    <n v="7"/>
  </r>
  <r>
    <x v="2"/>
    <x v="3"/>
    <n v="187404"/>
    <n v="18858"/>
    <n v="105"/>
    <n v="4.54"/>
    <n v="3216"/>
    <n v="3.38"/>
    <x v="2"/>
    <x v="0"/>
    <n v="8"/>
  </r>
  <r>
    <x v="1"/>
    <x v="3"/>
    <n v="129863"/>
    <n v="19626"/>
    <n v="432"/>
    <n v="4.58"/>
    <n v="17074"/>
    <n v="22.08"/>
    <x v="1"/>
    <x v="0"/>
    <n v="6"/>
  </r>
  <r>
    <x v="3"/>
    <x v="4"/>
    <n v="166104"/>
    <n v="14467"/>
    <n v="900"/>
    <n v="4.6399999999999997"/>
    <n v="14011"/>
    <n v="8.25"/>
    <x v="0"/>
    <x v="0"/>
    <n v="1"/>
  </r>
  <r>
    <x v="3"/>
    <x v="1"/>
    <n v="178918"/>
    <n v="40758"/>
    <n v="207"/>
    <n v="2.2599999999999998"/>
    <n v="18219"/>
    <n v="19.170000000000002"/>
    <x v="0"/>
    <x v="2"/>
    <n v="7"/>
  </r>
  <r>
    <x v="0"/>
    <x v="0"/>
    <n v="54936"/>
    <n v="4134"/>
    <n v="10"/>
    <n v="3.76"/>
    <n v="8681"/>
    <n v="10.23"/>
    <x v="4"/>
    <x v="1"/>
    <n v="3"/>
  </r>
  <r>
    <x v="3"/>
    <x v="4"/>
    <n v="170866"/>
    <n v="17743"/>
    <n v="416"/>
    <n v="2.09"/>
    <n v="13495"/>
    <n v="29.93"/>
    <x v="3"/>
    <x v="1"/>
    <n v="6"/>
  </r>
  <r>
    <x v="0"/>
    <x v="2"/>
    <n v="191403"/>
    <n v="16434"/>
    <n v="387"/>
    <n v="1.76"/>
    <n v="11798"/>
    <n v="7.91"/>
    <x v="2"/>
    <x v="2"/>
    <n v="8"/>
  </r>
  <r>
    <x v="1"/>
    <x v="2"/>
    <n v="38141"/>
    <n v="48775"/>
    <n v="176"/>
    <n v="1.74"/>
    <n v="17262"/>
    <n v="8.3699999999999992"/>
    <x v="4"/>
    <x v="1"/>
    <n v="7"/>
  </r>
  <r>
    <x v="2"/>
    <x v="3"/>
    <n v="150146"/>
    <n v="11233"/>
    <n v="518"/>
    <n v="2.37"/>
    <n v="6880"/>
    <n v="27.92"/>
    <x v="4"/>
    <x v="2"/>
    <n v="6"/>
  </r>
  <r>
    <x v="2"/>
    <x v="3"/>
    <n v="147478"/>
    <n v="2141"/>
    <n v="647"/>
    <n v="2.72"/>
    <n v="1115"/>
    <n v="0.74"/>
    <x v="2"/>
    <x v="1"/>
    <n v="9"/>
  </r>
  <r>
    <x v="1"/>
    <x v="2"/>
    <n v="107359"/>
    <n v="19019"/>
    <n v="322"/>
    <n v="4.32"/>
    <n v="19214"/>
    <n v="20.9"/>
    <x v="0"/>
    <x v="0"/>
    <n v="9"/>
  </r>
  <r>
    <x v="2"/>
    <x v="3"/>
    <n v="133279"/>
    <n v="21384"/>
    <n v="602"/>
    <n v="1.48"/>
    <n v="18638"/>
    <n v="21.76"/>
    <x v="3"/>
    <x v="0"/>
    <n v="1"/>
  </r>
  <r>
    <x v="1"/>
    <x v="0"/>
    <n v="164363"/>
    <n v="43903"/>
    <n v="427"/>
    <n v="3.94"/>
    <n v="963"/>
    <n v="25.09"/>
    <x v="0"/>
    <x v="0"/>
    <n v="1"/>
  </r>
  <r>
    <x v="1"/>
    <x v="3"/>
    <n v="51568"/>
    <n v="46734"/>
    <n v="772"/>
    <n v="3.13"/>
    <n v="9658"/>
    <n v="29.23"/>
    <x v="4"/>
    <x v="2"/>
    <n v="1"/>
  </r>
  <r>
    <x v="1"/>
    <x v="1"/>
    <n v="107539"/>
    <n v="37129"/>
    <n v="690"/>
    <n v="2.15"/>
    <n v="3658"/>
    <n v="29.27"/>
    <x v="3"/>
    <x v="2"/>
    <n v="8"/>
  </r>
  <r>
    <x v="2"/>
    <x v="3"/>
    <n v="56851"/>
    <n v="23967"/>
    <n v="486"/>
    <n v="2.97"/>
    <n v="13934"/>
    <n v="1.96"/>
    <x v="1"/>
    <x v="1"/>
    <n v="7"/>
  </r>
  <r>
    <x v="0"/>
    <x v="4"/>
    <n v="64823"/>
    <n v="41603"/>
    <n v="82"/>
    <n v="2.2000000000000002"/>
    <n v="5438"/>
    <n v="24.66"/>
    <x v="4"/>
    <x v="1"/>
    <n v="3"/>
  </r>
  <r>
    <x v="1"/>
    <x v="0"/>
    <n v="33312"/>
    <n v="12172"/>
    <n v="150"/>
    <n v="3.38"/>
    <n v="5917"/>
    <n v="19.39"/>
    <x v="0"/>
    <x v="1"/>
    <n v="2"/>
  </r>
  <r>
    <x v="3"/>
    <x v="4"/>
    <n v="184180"/>
    <n v="17390"/>
    <n v="591"/>
    <n v="2.74"/>
    <n v="9381"/>
    <n v="19.420000000000002"/>
    <x v="0"/>
    <x v="2"/>
    <n v="4"/>
  </r>
  <r>
    <x v="2"/>
    <x v="4"/>
    <n v="175243"/>
    <n v="4267"/>
    <n v="271"/>
    <n v="1.66"/>
    <n v="6103"/>
    <n v="3.85"/>
    <x v="0"/>
    <x v="1"/>
    <n v="3"/>
  </r>
  <r>
    <x v="1"/>
    <x v="1"/>
    <n v="182851"/>
    <n v="40332"/>
    <n v="349"/>
    <n v="1.47"/>
    <n v="2712"/>
    <n v="19.510000000000002"/>
    <x v="2"/>
    <x v="0"/>
    <n v="7"/>
  </r>
  <r>
    <x v="1"/>
    <x v="0"/>
    <n v="108723"/>
    <n v="27167"/>
    <n v="317"/>
    <n v="3.19"/>
    <n v="17266"/>
    <n v="29.47"/>
    <x v="4"/>
    <x v="1"/>
    <n v="8"/>
  </r>
  <r>
    <x v="3"/>
    <x v="0"/>
    <n v="22411"/>
    <n v="22312"/>
    <n v="254"/>
    <n v="4.6100000000000003"/>
    <n v="19140"/>
    <n v="27.35"/>
    <x v="3"/>
    <x v="0"/>
    <n v="6"/>
  </r>
  <r>
    <x v="0"/>
    <x v="0"/>
    <n v="67009"/>
    <n v="28840"/>
    <n v="524"/>
    <n v="2.38"/>
    <n v="12195"/>
    <n v="13.17"/>
    <x v="0"/>
    <x v="2"/>
    <n v="3"/>
  </r>
  <r>
    <x v="0"/>
    <x v="0"/>
    <n v="156494"/>
    <n v="19990"/>
    <n v="346"/>
    <n v="3.93"/>
    <n v="18296"/>
    <n v="1.2"/>
    <x v="0"/>
    <x v="0"/>
    <n v="6"/>
  </r>
  <r>
    <x v="0"/>
    <x v="0"/>
    <n v="183540"/>
    <n v="45179"/>
    <n v="584"/>
    <n v="3.63"/>
    <n v="10275"/>
    <n v="10.87"/>
    <x v="2"/>
    <x v="0"/>
    <n v="2"/>
  </r>
  <r>
    <x v="1"/>
    <x v="1"/>
    <n v="42371"/>
    <n v="6906"/>
    <n v="570"/>
    <n v="4.7300000000000004"/>
    <n v="15059"/>
    <n v="24.79"/>
    <x v="3"/>
    <x v="0"/>
    <n v="7"/>
  </r>
  <r>
    <x v="1"/>
    <x v="3"/>
    <n v="67022"/>
    <n v="49796"/>
    <n v="85"/>
    <n v="4.28"/>
    <n v="6646"/>
    <n v="21.04"/>
    <x v="4"/>
    <x v="2"/>
    <n v="7"/>
  </r>
  <r>
    <x v="1"/>
    <x v="4"/>
    <n v="81229"/>
    <n v="41379"/>
    <n v="889"/>
    <n v="3.27"/>
    <n v="871"/>
    <n v="13.78"/>
    <x v="1"/>
    <x v="2"/>
    <n v="4"/>
  </r>
  <r>
    <x v="2"/>
    <x v="0"/>
    <n v="109071"/>
    <n v="18297"/>
    <n v="184"/>
    <n v="3.63"/>
    <n v="6065"/>
    <n v="1.65"/>
    <x v="2"/>
    <x v="2"/>
    <n v="8"/>
  </r>
  <r>
    <x v="3"/>
    <x v="3"/>
    <n v="192268"/>
    <n v="3011"/>
    <n v="118"/>
    <n v="4.59"/>
    <n v="9302"/>
    <n v="12.81"/>
    <x v="4"/>
    <x v="2"/>
    <n v="4"/>
  </r>
  <r>
    <x v="1"/>
    <x v="3"/>
    <n v="106774"/>
    <n v="45014"/>
    <n v="192"/>
    <n v="2.6"/>
    <n v="8807"/>
    <n v="14.07"/>
    <x v="1"/>
    <x v="1"/>
    <n v="7"/>
  </r>
  <r>
    <x v="3"/>
    <x v="4"/>
    <n v="36715"/>
    <n v="47558"/>
    <n v="201"/>
    <n v="2.31"/>
    <n v="7937"/>
    <n v="27.86"/>
    <x v="0"/>
    <x v="2"/>
    <n v="4"/>
  </r>
  <r>
    <x v="3"/>
    <x v="1"/>
    <n v="37605"/>
    <n v="12738"/>
    <n v="74"/>
    <n v="1.04"/>
    <n v="946"/>
    <n v="19.23"/>
    <x v="0"/>
    <x v="0"/>
    <n v="5"/>
  </r>
  <r>
    <x v="0"/>
    <x v="2"/>
    <n v="109853"/>
    <n v="29797"/>
    <n v="858"/>
    <n v="4.3099999999999996"/>
    <n v="1891"/>
    <n v="9.35"/>
    <x v="3"/>
    <x v="2"/>
    <n v="7"/>
  </r>
  <r>
    <x v="2"/>
    <x v="2"/>
    <n v="41174"/>
    <n v="48498"/>
    <n v="972"/>
    <n v="4.2"/>
    <n v="12016"/>
    <n v="15.76"/>
    <x v="1"/>
    <x v="1"/>
    <n v="3"/>
  </r>
  <r>
    <x v="1"/>
    <x v="3"/>
    <n v="151028"/>
    <n v="12120"/>
    <n v="483"/>
    <n v="1.42"/>
    <n v="18224"/>
    <n v="1.98"/>
    <x v="0"/>
    <x v="1"/>
    <n v="5"/>
  </r>
  <r>
    <x v="0"/>
    <x v="4"/>
    <n v="86373"/>
    <n v="9767"/>
    <n v="792"/>
    <n v="3.31"/>
    <n v="15954"/>
    <n v="29.18"/>
    <x v="0"/>
    <x v="1"/>
    <n v="3"/>
  </r>
  <r>
    <x v="0"/>
    <x v="2"/>
    <n v="79252"/>
    <n v="23852"/>
    <n v="109"/>
    <n v="2.86"/>
    <n v="19823"/>
    <n v="10.8"/>
    <x v="3"/>
    <x v="0"/>
    <n v="5"/>
  </r>
  <r>
    <x v="1"/>
    <x v="3"/>
    <n v="80017"/>
    <n v="14703"/>
    <n v="553"/>
    <n v="1.47"/>
    <n v="12391"/>
    <n v="14.34"/>
    <x v="4"/>
    <x v="2"/>
    <n v="3"/>
  </r>
  <r>
    <x v="3"/>
    <x v="1"/>
    <n v="73037"/>
    <n v="1929"/>
    <n v="873"/>
    <n v="4.92"/>
    <n v="15498"/>
    <n v="10.66"/>
    <x v="0"/>
    <x v="2"/>
    <n v="7"/>
  </r>
  <r>
    <x v="0"/>
    <x v="2"/>
    <n v="99818"/>
    <n v="12951"/>
    <n v="137"/>
    <n v="1.86"/>
    <n v="6469"/>
    <n v="20.48"/>
    <x v="2"/>
    <x v="2"/>
    <n v="1"/>
  </r>
  <r>
    <x v="3"/>
    <x v="3"/>
    <n v="16548"/>
    <n v="27039"/>
    <n v="461"/>
    <n v="1.27"/>
    <n v="9765"/>
    <n v="19.87"/>
    <x v="2"/>
    <x v="0"/>
    <n v="9"/>
  </r>
  <r>
    <x v="2"/>
    <x v="3"/>
    <n v="126981"/>
    <n v="49613"/>
    <n v="923"/>
    <n v="3.38"/>
    <n v="16361"/>
    <n v="21.46"/>
    <x v="4"/>
    <x v="0"/>
    <n v="9"/>
  </r>
  <r>
    <x v="3"/>
    <x v="0"/>
    <n v="164249"/>
    <n v="30504"/>
    <n v="378"/>
    <n v="3.96"/>
    <n v="5954"/>
    <n v="8.0399999999999991"/>
    <x v="1"/>
    <x v="1"/>
    <n v="5"/>
  </r>
  <r>
    <x v="2"/>
    <x v="1"/>
    <n v="34022"/>
    <n v="18438"/>
    <n v="860"/>
    <n v="1.1299999999999999"/>
    <n v="3650"/>
    <n v="9.4700000000000006"/>
    <x v="3"/>
    <x v="1"/>
    <n v="9"/>
  </r>
  <r>
    <x v="3"/>
    <x v="0"/>
    <n v="116297"/>
    <n v="49515"/>
    <n v="52"/>
    <n v="3.63"/>
    <n v="15886"/>
    <n v="3.76"/>
    <x v="2"/>
    <x v="2"/>
    <n v="6"/>
  </r>
  <r>
    <x v="0"/>
    <x v="4"/>
    <n v="146614"/>
    <n v="6744"/>
    <n v="893"/>
    <n v="3.13"/>
    <n v="6914"/>
    <n v="19.670000000000002"/>
    <x v="2"/>
    <x v="0"/>
    <n v="5"/>
  </r>
  <r>
    <x v="0"/>
    <x v="0"/>
    <n v="70428"/>
    <n v="19284"/>
    <n v="428"/>
    <n v="1.41"/>
    <n v="5157"/>
    <n v="1.19"/>
    <x v="4"/>
    <x v="0"/>
    <n v="3"/>
  </r>
  <r>
    <x v="2"/>
    <x v="0"/>
    <n v="163812"/>
    <n v="43417"/>
    <n v="497"/>
    <n v="1.69"/>
    <n v="10986"/>
    <n v="17.93"/>
    <x v="1"/>
    <x v="2"/>
    <n v="8"/>
  </r>
  <r>
    <x v="1"/>
    <x v="2"/>
    <n v="69353"/>
    <n v="40748"/>
    <n v="87"/>
    <n v="3.27"/>
    <n v="15394"/>
    <n v="26.09"/>
    <x v="1"/>
    <x v="2"/>
    <n v="4"/>
  </r>
  <r>
    <x v="2"/>
    <x v="3"/>
    <n v="123132"/>
    <n v="8069"/>
    <n v="835"/>
    <n v="2.19"/>
    <n v="5980"/>
    <n v="26.72"/>
    <x v="4"/>
    <x v="1"/>
    <n v="3"/>
  </r>
  <r>
    <x v="2"/>
    <x v="1"/>
    <n v="197604"/>
    <n v="43359"/>
    <n v="810"/>
    <n v="4.75"/>
    <n v="8533"/>
    <n v="13.47"/>
    <x v="2"/>
    <x v="1"/>
    <n v="6"/>
  </r>
  <r>
    <x v="3"/>
    <x v="0"/>
    <n v="26052"/>
    <n v="20799"/>
    <n v="279"/>
    <n v="4.2699999999999996"/>
    <n v="1483"/>
    <n v="13.78"/>
    <x v="3"/>
    <x v="1"/>
    <n v="8"/>
  </r>
  <r>
    <x v="3"/>
    <x v="1"/>
    <n v="110689"/>
    <n v="34210"/>
    <n v="683"/>
    <n v="4.93"/>
    <n v="9043"/>
    <n v="2.31"/>
    <x v="2"/>
    <x v="2"/>
    <n v="9"/>
  </r>
  <r>
    <x v="2"/>
    <x v="0"/>
    <n v="188148"/>
    <n v="29226"/>
    <n v="710"/>
    <n v="2.04"/>
    <n v="10416"/>
    <n v="20.12"/>
    <x v="1"/>
    <x v="2"/>
    <n v="6"/>
  </r>
  <r>
    <x v="0"/>
    <x v="4"/>
    <n v="194492"/>
    <n v="5652"/>
    <n v="768"/>
    <n v="4.88"/>
    <n v="10643"/>
    <n v="24.64"/>
    <x v="2"/>
    <x v="1"/>
    <n v="5"/>
  </r>
  <r>
    <x v="3"/>
    <x v="0"/>
    <n v="141743"/>
    <n v="25323"/>
    <n v="909"/>
    <n v="2.72"/>
    <n v="16081"/>
    <n v="7.34"/>
    <x v="3"/>
    <x v="1"/>
    <n v="2"/>
  </r>
  <r>
    <x v="1"/>
    <x v="2"/>
    <n v="10163"/>
    <n v="43138"/>
    <n v="737"/>
    <n v="2.39"/>
    <n v="2407"/>
    <n v="12.64"/>
    <x v="0"/>
    <x v="0"/>
    <n v="2"/>
  </r>
  <r>
    <x v="3"/>
    <x v="3"/>
    <n v="51424"/>
    <n v="8597"/>
    <n v="324"/>
    <n v="1.2"/>
    <n v="9716"/>
    <n v="25.17"/>
    <x v="2"/>
    <x v="0"/>
    <n v="9"/>
  </r>
  <r>
    <x v="3"/>
    <x v="4"/>
    <n v="194816"/>
    <n v="48093"/>
    <n v="934"/>
    <n v="1.21"/>
    <n v="9237"/>
    <n v="26.31"/>
    <x v="4"/>
    <x v="1"/>
    <n v="2"/>
  </r>
  <r>
    <x v="1"/>
    <x v="0"/>
    <n v="151706"/>
    <n v="38226"/>
    <n v="860"/>
    <n v="3.77"/>
    <n v="14257"/>
    <n v="7.3"/>
    <x v="0"/>
    <x v="1"/>
    <n v="2"/>
  </r>
  <r>
    <x v="2"/>
    <x v="1"/>
    <n v="145870"/>
    <n v="7591"/>
    <n v="911"/>
    <n v="2.83"/>
    <n v="4674"/>
    <n v="16.52"/>
    <x v="4"/>
    <x v="0"/>
    <n v="3"/>
  </r>
  <r>
    <x v="1"/>
    <x v="4"/>
    <n v="32420"/>
    <n v="26833"/>
    <n v="898"/>
    <n v="1.91"/>
    <n v="16208"/>
    <n v="5.77"/>
    <x v="4"/>
    <x v="1"/>
    <n v="3"/>
  </r>
  <r>
    <x v="2"/>
    <x v="4"/>
    <n v="130575"/>
    <n v="12826"/>
    <n v="954"/>
    <n v="3.46"/>
    <n v="9797"/>
    <n v="3.06"/>
    <x v="4"/>
    <x v="0"/>
    <n v="4"/>
  </r>
  <r>
    <x v="2"/>
    <x v="0"/>
    <n v="39300"/>
    <n v="27417"/>
    <n v="177"/>
    <n v="2.0099999999999998"/>
    <n v="2490"/>
    <n v="27.33"/>
    <x v="2"/>
    <x v="0"/>
    <n v="7"/>
  </r>
  <r>
    <x v="2"/>
    <x v="4"/>
    <n v="99881"/>
    <n v="19693"/>
    <n v="348"/>
    <n v="3.31"/>
    <n v="6096"/>
    <n v="24.62"/>
    <x v="1"/>
    <x v="0"/>
    <n v="9"/>
  </r>
  <r>
    <x v="1"/>
    <x v="1"/>
    <n v="20749"/>
    <n v="15138"/>
    <n v="202"/>
    <n v="2.44"/>
    <n v="16874"/>
    <n v="22.8"/>
    <x v="0"/>
    <x v="2"/>
    <n v="2"/>
  </r>
  <r>
    <x v="2"/>
    <x v="4"/>
    <n v="114131"/>
    <n v="3169"/>
    <n v="462"/>
    <n v="4.29"/>
    <n v="4275"/>
    <n v="1.46"/>
    <x v="3"/>
    <x v="2"/>
    <n v="4"/>
  </r>
  <r>
    <x v="0"/>
    <x v="1"/>
    <n v="166193"/>
    <n v="19556"/>
    <n v="292"/>
    <n v="4.28"/>
    <n v="18945"/>
    <n v="25.31"/>
    <x v="1"/>
    <x v="1"/>
    <n v="9"/>
  </r>
  <r>
    <x v="1"/>
    <x v="0"/>
    <n v="138563"/>
    <n v="23052"/>
    <n v="345"/>
    <n v="2.91"/>
    <n v="16206"/>
    <n v="13.14"/>
    <x v="2"/>
    <x v="0"/>
    <n v="2"/>
  </r>
  <r>
    <x v="0"/>
    <x v="3"/>
    <n v="47487"/>
    <n v="7313"/>
    <n v="399"/>
    <n v="2.4"/>
    <n v="15145"/>
    <n v="10.27"/>
    <x v="4"/>
    <x v="2"/>
    <n v="1"/>
  </r>
  <r>
    <x v="2"/>
    <x v="4"/>
    <n v="174433"/>
    <n v="9315"/>
    <n v="534"/>
    <n v="2.4500000000000002"/>
    <n v="14168"/>
    <n v="16.39"/>
    <x v="3"/>
    <x v="1"/>
    <n v="8"/>
  </r>
  <r>
    <x v="3"/>
    <x v="3"/>
    <n v="31223"/>
    <n v="9036"/>
    <n v="249"/>
    <n v="4.22"/>
    <n v="16460"/>
    <n v="2.74"/>
    <x v="0"/>
    <x v="1"/>
    <n v="9"/>
  </r>
  <r>
    <x v="2"/>
    <x v="1"/>
    <n v="82930"/>
    <n v="32778"/>
    <n v="841"/>
    <n v="2.31"/>
    <n v="11857"/>
    <n v="22.7"/>
    <x v="1"/>
    <x v="1"/>
    <n v="7"/>
  </r>
  <r>
    <x v="0"/>
    <x v="4"/>
    <n v="155128"/>
    <n v="28734"/>
    <n v="967"/>
    <n v="1.84"/>
    <n v="4935"/>
    <n v="17.47"/>
    <x v="1"/>
    <x v="1"/>
    <n v="8"/>
  </r>
  <r>
    <x v="0"/>
    <x v="2"/>
    <n v="38380"/>
    <n v="24173"/>
    <n v="492"/>
    <n v="1.34"/>
    <n v="19528"/>
    <n v="5.6"/>
    <x v="3"/>
    <x v="1"/>
    <n v="4"/>
  </r>
  <r>
    <x v="1"/>
    <x v="3"/>
    <n v="36035"/>
    <n v="31403"/>
    <n v="668"/>
    <n v="2.87"/>
    <n v="16304"/>
    <n v="5.65"/>
    <x v="2"/>
    <x v="0"/>
    <n v="4"/>
  </r>
  <r>
    <x v="3"/>
    <x v="4"/>
    <n v="40620"/>
    <n v="1785"/>
    <n v="725"/>
    <n v="2.93"/>
    <n v="17929"/>
    <n v="5.53"/>
    <x v="0"/>
    <x v="1"/>
    <n v="2"/>
  </r>
  <r>
    <x v="1"/>
    <x v="3"/>
    <n v="160949"/>
    <n v="7139"/>
    <n v="601"/>
    <n v="4.3600000000000003"/>
    <n v="15126"/>
    <n v="1.71"/>
    <x v="3"/>
    <x v="0"/>
    <n v="8"/>
  </r>
  <r>
    <x v="0"/>
    <x v="4"/>
    <n v="196388"/>
    <n v="7344"/>
    <n v="900"/>
    <n v="1.88"/>
    <n v="8451"/>
    <n v="17.63"/>
    <x v="4"/>
    <x v="2"/>
    <n v="2"/>
  </r>
  <r>
    <x v="2"/>
    <x v="0"/>
    <n v="127360"/>
    <n v="19800"/>
    <n v="564"/>
    <n v="2.52"/>
    <n v="6949"/>
    <n v="25.21"/>
    <x v="0"/>
    <x v="1"/>
    <n v="9"/>
  </r>
  <r>
    <x v="3"/>
    <x v="3"/>
    <n v="63352"/>
    <n v="26372"/>
    <n v="467"/>
    <n v="4.2300000000000004"/>
    <n v="19565"/>
    <n v="0.52"/>
    <x v="1"/>
    <x v="2"/>
    <n v="4"/>
  </r>
  <r>
    <x v="2"/>
    <x v="2"/>
    <n v="171983"/>
    <n v="21538"/>
    <n v="98"/>
    <n v="4.29"/>
    <n v="3699"/>
    <n v="1.47"/>
    <x v="3"/>
    <x v="0"/>
    <n v="1"/>
  </r>
  <r>
    <x v="2"/>
    <x v="2"/>
    <n v="173856"/>
    <n v="15973"/>
    <n v="669"/>
    <n v="2.54"/>
    <n v="7268"/>
    <n v="17.18"/>
    <x v="1"/>
    <x v="0"/>
    <n v="4"/>
  </r>
  <r>
    <x v="3"/>
    <x v="1"/>
    <n v="13191"/>
    <n v="6619"/>
    <n v="104"/>
    <n v="2.84"/>
    <n v="9630"/>
    <n v="24.58"/>
    <x v="1"/>
    <x v="2"/>
    <n v="3"/>
  </r>
  <r>
    <x v="1"/>
    <x v="4"/>
    <n v="174232"/>
    <n v="35704"/>
    <n v="461"/>
    <n v="2.21"/>
    <n v="9133"/>
    <n v="9.8000000000000007"/>
    <x v="1"/>
    <x v="1"/>
    <n v="6"/>
  </r>
  <r>
    <x v="2"/>
    <x v="3"/>
    <n v="100536"/>
    <n v="37575"/>
    <n v="437"/>
    <n v="4.7300000000000004"/>
    <n v="19434"/>
    <n v="10.49"/>
    <x v="2"/>
    <x v="1"/>
    <n v="7"/>
  </r>
  <r>
    <x v="0"/>
    <x v="1"/>
    <n v="114576"/>
    <n v="40919"/>
    <n v="160"/>
    <n v="1.47"/>
    <n v="4725"/>
    <n v="17.89"/>
    <x v="1"/>
    <x v="2"/>
    <n v="8"/>
  </r>
  <r>
    <x v="2"/>
    <x v="3"/>
    <n v="190795"/>
    <n v="43261"/>
    <n v="523"/>
    <n v="4.7300000000000004"/>
    <n v="17480"/>
    <n v="8.23"/>
    <x v="4"/>
    <x v="2"/>
    <n v="2"/>
  </r>
  <r>
    <x v="3"/>
    <x v="4"/>
    <n v="13631"/>
    <n v="46123"/>
    <n v="385"/>
    <n v="3.74"/>
    <n v="6554"/>
    <n v="0.8"/>
    <x v="4"/>
    <x v="2"/>
    <n v="6"/>
  </r>
  <r>
    <x v="3"/>
    <x v="2"/>
    <n v="147244"/>
    <n v="28716"/>
    <n v="31"/>
    <n v="3.13"/>
    <n v="2005"/>
    <n v="22.06"/>
    <x v="0"/>
    <x v="1"/>
    <n v="6"/>
  </r>
  <r>
    <x v="3"/>
    <x v="0"/>
    <n v="52080"/>
    <n v="4236"/>
    <n v="892"/>
    <n v="1.1299999999999999"/>
    <n v="9553"/>
    <n v="18.77"/>
    <x v="1"/>
    <x v="1"/>
    <n v="5"/>
  </r>
  <r>
    <x v="1"/>
    <x v="2"/>
    <n v="100353"/>
    <n v="16848"/>
    <n v="322"/>
    <n v="2.9"/>
    <n v="16249"/>
    <n v="17.420000000000002"/>
    <x v="1"/>
    <x v="1"/>
    <n v="7"/>
  </r>
  <r>
    <x v="2"/>
    <x v="1"/>
    <n v="161353"/>
    <n v="3352"/>
    <n v="849"/>
    <n v="2.63"/>
    <n v="11332"/>
    <n v="22.25"/>
    <x v="3"/>
    <x v="2"/>
    <n v="3"/>
  </r>
  <r>
    <x v="1"/>
    <x v="0"/>
    <n v="38671"/>
    <n v="2932"/>
    <n v="528"/>
    <n v="1.64"/>
    <n v="16844"/>
    <n v="20.260000000000002"/>
    <x v="2"/>
    <x v="1"/>
    <n v="4"/>
  </r>
  <r>
    <x v="1"/>
    <x v="1"/>
    <n v="132811"/>
    <n v="11913"/>
    <n v="215"/>
    <n v="3.63"/>
    <n v="15283"/>
    <n v="6.18"/>
    <x v="0"/>
    <x v="0"/>
    <n v="9"/>
  </r>
  <r>
    <x v="3"/>
    <x v="4"/>
    <n v="192503"/>
    <n v="9556"/>
    <n v="961"/>
    <n v="4.88"/>
    <n v="2051"/>
    <n v="10.57"/>
    <x v="1"/>
    <x v="2"/>
    <n v="4"/>
  </r>
  <r>
    <x v="3"/>
    <x v="0"/>
    <n v="137734"/>
    <n v="22300"/>
    <n v="384"/>
    <n v="3.25"/>
    <n v="15654"/>
    <n v="3.78"/>
    <x v="3"/>
    <x v="1"/>
    <n v="3"/>
  </r>
  <r>
    <x v="1"/>
    <x v="1"/>
    <n v="169674"/>
    <n v="6498"/>
    <n v="460"/>
    <n v="3.86"/>
    <n v="14299"/>
    <n v="3.9"/>
    <x v="2"/>
    <x v="2"/>
    <n v="2"/>
  </r>
  <r>
    <x v="2"/>
    <x v="4"/>
    <n v="61399"/>
    <n v="11582"/>
    <n v="635"/>
    <n v="1.27"/>
    <n v="7352"/>
    <n v="20.29"/>
    <x v="0"/>
    <x v="0"/>
    <n v="5"/>
  </r>
  <r>
    <x v="0"/>
    <x v="2"/>
    <n v="164544"/>
    <n v="47633"/>
    <n v="793"/>
    <n v="2.67"/>
    <n v="1949"/>
    <n v="25.76"/>
    <x v="0"/>
    <x v="0"/>
    <n v="4"/>
  </r>
  <r>
    <x v="1"/>
    <x v="4"/>
    <n v="190302"/>
    <n v="10569"/>
    <n v="604"/>
    <n v="1.47"/>
    <n v="3159"/>
    <n v="28.88"/>
    <x v="1"/>
    <x v="2"/>
    <n v="8"/>
  </r>
  <r>
    <x v="2"/>
    <x v="3"/>
    <n v="17099"/>
    <n v="5857"/>
    <n v="188"/>
    <n v="3.45"/>
    <n v="8009"/>
    <n v="18.850000000000001"/>
    <x v="0"/>
    <x v="2"/>
    <n v="7"/>
  </r>
  <r>
    <x v="3"/>
    <x v="4"/>
    <n v="166503"/>
    <n v="1340"/>
    <n v="219"/>
    <n v="4.75"/>
    <n v="3221"/>
    <n v="5.52"/>
    <x v="3"/>
    <x v="0"/>
    <n v="6"/>
  </r>
  <r>
    <x v="3"/>
    <x v="4"/>
    <n v="66492"/>
    <n v="44949"/>
    <n v="509"/>
    <n v="3.65"/>
    <n v="12944"/>
    <n v="3.17"/>
    <x v="0"/>
    <x v="2"/>
    <n v="2"/>
  </r>
  <r>
    <x v="2"/>
    <x v="3"/>
    <n v="106722"/>
    <n v="17766"/>
    <n v="473"/>
    <n v="1.31"/>
    <n v="10137"/>
    <n v="24.39"/>
    <x v="4"/>
    <x v="0"/>
    <n v="3"/>
  </r>
  <r>
    <x v="0"/>
    <x v="1"/>
    <n v="188756"/>
    <n v="27132"/>
    <n v="849"/>
    <n v="2.42"/>
    <n v="10990"/>
    <n v="17.36"/>
    <x v="3"/>
    <x v="0"/>
    <n v="9"/>
  </r>
  <r>
    <x v="3"/>
    <x v="1"/>
    <n v="40111"/>
    <n v="9491"/>
    <n v="133"/>
    <n v="3.2"/>
    <n v="3425"/>
    <n v="18.55"/>
    <x v="2"/>
    <x v="1"/>
    <n v="9"/>
  </r>
  <r>
    <x v="3"/>
    <x v="4"/>
    <n v="73936"/>
    <n v="1138"/>
    <n v="122"/>
    <n v="2.61"/>
    <n v="10324"/>
    <n v="23.44"/>
    <x v="2"/>
    <x v="2"/>
    <n v="5"/>
  </r>
  <r>
    <x v="3"/>
    <x v="3"/>
    <n v="163686"/>
    <n v="1358"/>
    <n v="21"/>
    <n v="4.33"/>
    <n v="6740"/>
    <n v="21.1"/>
    <x v="1"/>
    <x v="2"/>
    <n v="3"/>
  </r>
  <r>
    <x v="2"/>
    <x v="3"/>
    <n v="183063"/>
    <n v="10714"/>
    <n v="135"/>
    <n v="4.26"/>
    <n v="17396"/>
    <n v="25.03"/>
    <x v="1"/>
    <x v="1"/>
    <n v="2"/>
  </r>
  <r>
    <x v="1"/>
    <x v="2"/>
    <n v="70920"/>
    <n v="20840"/>
    <n v="574"/>
    <n v="3.45"/>
    <n v="715"/>
    <n v="1.69"/>
    <x v="4"/>
    <x v="0"/>
    <n v="8"/>
  </r>
  <r>
    <x v="3"/>
    <x v="1"/>
    <n v="73530"/>
    <n v="35395"/>
    <n v="340"/>
    <n v="2.4900000000000002"/>
    <n v="7799"/>
    <n v="22.43"/>
    <x v="2"/>
    <x v="2"/>
    <n v="6"/>
  </r>
  <r>
    <x v="1"/>
    <x v="0"/>
    <n v="177296"/>
    <n v="31654"/>
    <n v="910"/>
    <n v="2.02"/>
    <n v="12023"/>
    <n v="25.53"/>
    <x v="2"/>
    <x v="1"/>
    <n v="7"/>
  </r>
  <r>
    <x v="0"/>
    <x v="1"/>
    <n v="17788"/>
    <n v="26879"/>
    <n v="292"/>
    <n v="1.42"/>
    <n v="10864"/>
    <n v="8.58"/>
    <x v="2"/>
    <x v="1"/>
    <n v="1"/>
  </r>
  <r>
    <x v="3"/>
    <x v="1"/>
    <n v="38082"/>
    <n v="16996"/>
    <n v="149"/>
    <n v="2.42"/>
    <n v="3653"/>
    <n v="19.21"/>
    <x v="2"/>
    <x v="2"/>
    <n v="1"/>
  </r>
  <r>
    <x v="3"/>
    <x v="2"/>
    <n v="133287"/>
    <n v="38772"/>
    <n v="410"/>
    <n v="2.65"/>
    <n v="2206"/>
    <n v="9.42"/>
    <x v="0"/>
    <x v="1"/>
    <n v="2"/>
  </r>
  <r>
    <x v="0"/>
    <x v="0"/>
    <n v="99570"/>
    <n v="27762"/>
    <n v="911"/>
    <n v="3.7"/>
    <n v="10798"/>
    <n v="28.74"/>
    <x v="3"/>
    <x v="0"/>
    <n v="3"/>
  </r>
  <r>
    <x v="3"/>
    <x v="2"/>
    <n v="111015"/>
    <n v="14283"/>
    <n v="106"/>
    <n v="3.63"/>
    <n v="2067"/>
    <n v="1"/>
    <x v="3"/>
    <x v="1"/>
    <n v="1"/>
  </r>
  <r>
    <x v="1"/>
    <x v="0"/>
    <n v="93588"/>
    <n v="40420"/>
    <n v="526"/>
    <n v="1.28"/>
    <n v="10900"/>
    <n v="17.39"/>
    <x v="4"/>
    <x v="0"/>
    <n v="5"/>
  </r>
  <r>
    <x v="2"/>
    <x v="4"/>
    <n v="157603"/>
    <n v="20554"/>
    <n v="578"/>
    <n v="2.58"/>
    <n v="10845"/>
    <n v="5"/>
    <x v="0"/>
    <x v="0"/>
    <n v="3"/>
  </r>
  <r>
    <x v="1"/>
    <x v="0"/>
    <n v="98340"/>
    <n v="21219"/>
    <n v="933"/>
    <n v="1.73"/>
    <n v="1628"/>
    <n v="21.37"/>
    <x v="2"/>
    <x v="2"/>
    <n v="1"/>
  </r>
  <r>
    <x v="2"/>
    <x v="2"/>
    <n v="104439"/>
    <n v="35919"/>
    <n v="855"/>
    <n v="1.63"/>
    <n v="8367"/>
    <n v="5.28"/>
    <x v="2"/>
    <x v="1"/>
    <n v="8"/>
  </r>
  <r>
    <x v="2"/>
    <x v="1"/>
    <n v="185929"/>
    <n v="10429"/>
    <n v="78"/>
    <n v="4.3099999999999996"/>
    <n v="19249"/>
    <n v="7.06"/>
    <x v="1"/>
    <x v="0"/>
    <n v="6"/>
  </r>
  <r>
    <x v="1"/>
    <x v="0"/>
    <n v="151214"/>
    <n v="47840"/>
    <n v="127"/>
    <n v="1.17"/>
    <n v="6083"/>
    <n v="14.83"/>
    <x v="1"/>
    <x v="0"/>
    <n v="9"/>
  </r>
  <r>
    <x v="1"/>
    <x v="0"/>
    <n v="125053"/>
    <n v="45695"/>
    <n v="897"/>
    <n v="2.68"/>
    <n v="5397"/>
    <n v="27.45"/>
    <x v="4"/>
    <x v="1"/>
    <n v="3"/>
  </r>
  <r>
    <x v="1"/>
    <x v="3"/>
    <n v="58355"/>
    <n v="40673"/>
    <n v="68"/>
    <n v="1.67"/>
    <n v="6501"/>
    <n v="6.35"/>
    <x v="2"/>
    <x v="0"/>
    <n v="9"/>
  </r>
  <r>
    <x v="1"/>
    <x v="1"/>
    <n v="150938"/>
    <n v="20218"/>
    <n v="42"/>
    <n v="4.5199999999999996"/>
    <n v="11613"/>
    <n v="4.33"/>
    <x v="4"/>
    <x v="1"/>
    <n v="9"/>
  </r>
  <r>
    <x v="0"/>
    <x v="4"/>
    <n v="135426"/>
    <n v="13452"/>
    <n v="327"/>
    <n v="3.23"/>
    <n v="5067"/>
    <n v="22.77"/>
    <x v="0"/>
    <x v="2"/>
    <n v="1"/>
  </r>
  <r>
    <x v="3"/>
    <x v="2"/>
    <n v="74027"/>
    <n v="49980"/>
    <n v="59"/>
    <n v="1.93"/>
    <n v="9771"/>
    <n v="15.02"/>
    <x v="3"/>
    <x v="0"/>
    <n v="3"/>
  </r>
  <r>
    <x v="2"/>
    <x v="4"/>
    <n v="198978"/>
    <n v="19951"/>
    <n v="889"/>
    <n v="3.01"/>
    <n v="14848"/>
    <n v="27.35"/>
    <x v="2"/>
    <x v="0"/>
    <n v="6"/>
  </r>
  <r>
    <x v="1"/>
    <x v="1"/>
    <n v="169210"/>
    <n v="2307"/>
    <n v="498"/>
    <n v="3.93"/>
    <n v="12203"/>
    <n v="4.4000000000000004"/>
    <x v="0"/>
    <x v="1"/>
    <n v="8"/>
  </r>
  <r>
    <x v="1"/>
    <x v="0"/>
    <n v="102601"/>
    <n v="15852"/>
    <n v="28"/>
    <n v="4.83"/>
    <n v="13829"/>
    <n v="19.38"/>
    <x v="2"/>
    <x v="1"/>
    <n v="4"/>
  </r>
  <r>
    <x v="1"/>
    <x v="0"/>
    <n v="39956"/>
    <n v="26232"/>
    <n v="735"/>
    <n v="1.88"/>
    <n v="3241"/>
    <n v="6.99"/>
    <x v="1"/>
    <x v="1"/>
    <n v="5"/>
  </r>
  <r>
    <x v="0"/>
    <x v="1"/>
    <n v="114797"/>
    <n v="36428"/>
    <n v="206"/>
    <n v="4.54"/>
    <n v="19904"/>
    <n v="4.7"/>
    <x v="4"/>
    <x v="1"/>
    <n v="9"/>
  </r>
  <r>
    <x v="1"/>
    <x v="0"/>
    <n v="134917"/>
    <n v="44171"/>
    <n v="900"/>
    <n v="4.74"/>
    <n v="6756"/>
    <n v="20.5"/>
    <x v="1"/>
    <x v="0"/>
    <n v="6"/>
  </r>
  <r>
    <x v="1"/>
    <x v="0"/>
    <n v="136303"/>
    <n v="27485"/>
    <n v="459"/>
    <n v="4.67"/>
    <n v="728"/>
    <n v="17.809999999999999"/>
    <x v="3"/>
    <x v="2"/>
    <n v="7"/>
  </r>
  <r>
    <x v="1"/>
    <x v="0"/>
    <n v="146511"/>
    <n v="11238"/>
    <n v="999"/>
    <n v="3.54"/>
    <n v="17178"/>
    <n v="22.64"/>
    <x v="1"/>
    <x v="2"/>
    <n v="7"/>
  </r>
  <r>
    <x v="3"/>
    <x v="2"/>
    <n v="188313"/>
    <n v="39975"/>
    <n v="568"/>
    <n v="3.52"/>
    <n v="4784"/>
    <n v="9.2799999999999994"/>
    <x v="2"/>
    <x v="2"/>
    <n v="4"/>
  </r>
  <r>
    <x v="0"/>
    <x v="2"/>
    <n v="52533"/>
    <n v="2140"/>
    <n v="688"/>
    <n v="2.61"/>
    <n v="13764"/>
    <n v="13.44"/>
    <x v="1"/>
    <x v="2"/>
    <n v="4"/>
  </r>
  <r>
    <x v="1"/>
    <x v="3"/>
    <n v="169342"/>
    <n v="25842"/>
    <n v="461"/>
    <n v="4.01"/>
    <n v="13890"/>
    <n v="12.16"/>
    <x v="2"/>
    <x v="1"/>
    <n v="4"/>
  </r>
  <r>
    <x v="2"/>
    <x v="4"/>
    <n v="88815"/>
    <n v="27421"/>
    <n v="298"/>
    <n v="3.13"/>
    <n v="1418"/>
    <n v="29.52"/>
    <x v="3"/>
    <x v="0"/>
    <n v="5"/>
  </r>
  <r>
    <x v="2"/>
    <x v="1"/>
    <n v="49279"/>
    <n v="2708"/>
    <n v="150"/>
    <n v="3.71"/>
    <n v="11945"/>
    <n v="8.77"/>
    <x v="1"/>
    <x v="0"/>
    <n v="5"/>
  </r>
  <r>
    <x v="2"/>
    <x v="1"/>
    <n v="119787"/>
    <n v="4630"/>
    <n v="93"/>
    <n v="2.71"/>
    <n v="998"/>
    <n v="8.84"/>
    <x v="4"/>
    <x v="0"/>
    <n v="8"/>
  </r>
  <r>
    <x v="0"/>
    <x v="1"/>
    <n v="164960"/>
    <n v="20595"/>
    <n v="703"/>
    <n v="3.93"/>
    <n v="3309"/>
    <n v="10.64"/>
    <x v="4"/>
    <x v="1"/>
    <n v="9"/>
  </r>
  <r>
    <x v="0"/>
    <x v="3"/>
    <n v="158702"/>
    <n v="11485"/>
    <n v="400"/>
    <n v="4.3"/>
    <n v="5461"/>
    <n v="16.940000000000001"/>
    <x v="4"/>
    <x v="0"/>
    <n v="2"/>
  </r>
  <r>
    <x v="2"/>
    <x v="2"/>
    <n v="71063"/>
    <n v="29308"/>
    <n v="600"/>
    <n v="1.59"/>
    <n v="9517"/>
    <n v="7.57"/>
    <x v="1"/>
    <x v="1"/>
    <n v="7"/>
  </r>
  <r>
    <x v="1"/>
    <x v="3"/>
    <n v="137896"/>
    <n v="45789"/>
    <n v="224"/>
    <n v="4.33"/>
    <n v="4279"/>
    <n v="27.46"/>
    <x v="1"/>
    <x v="0"/>
    <n v="1"/>
  </r>
  <r>
    <x v="0"/>
    <x v="1"/>
    <n v="176216"/>
    <n v="27086"/>
    <n v="535"/>
    <n v="3.16"/>
    <n v="10550"/>
    <n v="7.97"/>
    <x v="1"/>
    <x v="2"/>
    <n v="1"/>
  </r>
  <r>
    <x v="2"/>
    <x v="4"/>
    <n v="193233"/>
    <n v="17859"/>
    <n v="224"/>
    <n v="4.38"/>
    <n v="2618"/>
    <n v="26.87"/>
    <x v="2"/>
    <x v="1"/>
    <n v="4"/>
  </r>
  <r>
    <x v="2"/>
    <x v="0"/>
    <n v="192051"/>
    <n v="8684"/>
    <n v="412"/>
    <n v="2.73"/>
    <n v="6891"/>
    <n v="3.1"/>
    <x v="3"/>
    <x v="0"/>
    <n v="7"/>
  </r>
  <r>
    <x v="1"/>
    <x v="2"/>
    <n v="107661"/>
    <n v="26552"/>
    <n v="137"/>
    <n v="2.52"/>
    <n v="645"/>
    <n v="19.7"/>
    <x v="4"/>
    <x v="2"/>
    <n v="2"/>
  </r>
  <r>
    <x v="3"/>
    <x v="2"/>
    <n v="148051"/>
    <n v="2207"/>
    <n v="831"/>
    <n v="4.66"/>
    <n v="14429"/>
    <n v="27.21"/>
    <x v="2"/>
    <x v="2"/>
    <n v="2"/>
  </r>
  <r>
    <x v="0"/>
    <x v="3"/>
    <n v="167261"/>
    <n v="47099"/>
    <n v="486"/>
    <n v="2"/>
    <n v="15417"/>
    <n v="5.0599999999999996"/>
    <x v="4"/>
    <x v="2"/>
    <n v="1"/>
  </r>
  <r>
    <x v="1"/>
    <x v="2"/>
    <n v="183672"/>
    <n v="2960"/>
    <n v="769"/>
    <n v="4.38"/>
    <n v="5065"/>
    <n v="29.05"/>
    <x v="2"/>
    <x v="1"/>
    <n v="2"/>
  </r>
  <r>
    <x v="2"/>
    <x v="1"/>
    <n v="133257"/>
    <n v="1557"/>
    <n v="413"/>
    <n v="2.94"/>
    <n v="17076"/>
    <n v="13.59"/>
    <x v="1"/>
    <x v="1"/>
    <n v="7"/>
  </r>
  <r>
    <x v="2"/>
    <x v="1"/>
    <n v="96205"/>
    <n v="30689"/>
    <n v="38"/>
    <n v="3.06"/>
    <n v="7137"/>
    <n v="28.37"/>
    <x v="4"/>
    <x v="0"/>
    <n v="9"/>
  </r>
  <r>
    <x v="1"/>
    <x v="3"/>
    <n v="16910"/>
    <n v="49651"/>
    <n v="801"/>
    <n v="2.23"/>
    <n v="8743"/>
    <n v="20.3"/>
    <x v="1"/>
    <x v="2"/>
    <n v="6"/>
  </r>
  <r>
    <x v="0"/>
    <x v="1"/>
    <n v="198785"/>
    <n v="14893"/>
    <n v="347"/>
    <n v="3.29"/>
    <n v="2910"/>
    <n v="9.0500000000000007"/>
    <x v="4"/>
    <x v="0"/>
    <n v="2"/>
  </r>
  <r>
    <x v="3"/>
    <x v="4"/>
    <n v="56857"/>
    <n v="33272"/>
    <n v="840"/>
    <n v="2.2999999999999998"/>
    <n v="2320"/>
    <n v="5.65"/>
    <x v="0"/>
    <x v="0"/>
    <n v="9"/>
  </r>
  <r>
    <x v="3"/>
    <x v="3"/>
    <n v="44964"/>
    <n v="1882"/>
    <n v="723"/>
    <n v="1.1599999999999999"/>
    <n v="19848"/>
    <n v="9.11"/>
    <x v="2"/>
    <x v="2"/>
    <n v="7"/>
  </r>
  <r>
    <x v="2"/>
    <x v="4"/>
    <n v="166299"/>
    <n v="38529"/>
    <n v="370"/>
    <n v="2.09"/>
    <n v="3021"/>
    <n v="2.79"/>
    <x v="0"/>
    <x v="0"/>
    <n v="1"/>
  </r>
  <r>
    <x v="0"/>
    <x v="0"/>
    <n v="147050"/>
    <n v="39635"/>
    <n v="578"/>
    <n v="1.03"/>
    <n v="19452"/>
    <n v="4.32"/>
    <x v="2"/>
    <x v="1"/>
    <n v="9"/>
  </r>
  <r>
    <x v="3"/>
    <x v="4"/>
    <n v="27153"/>
    <n v="30535"/>
    <n v="401"/>
    <n v="4.91"/>
    <n v="6382"/>
    <n v="3.14"/>
    <x v="3"/>
    <x v="0"/>
    <n v="2"/>
  </r>
  <r>
    <x v="0"/>
    <x v="0"/>
    <n v="69765"/>
    <n v="13869"/>
    <n v="227"/>
    <n v="4.8600000000000003"/>
    <n v="2367"/>
    <n v="12.69"/>
    <x v="4"/>
    <x v="2"/>
    <n v="4"/>
  </r>
  <r>
    <x v="0"/>
    <x v="0"/>
    <n v="118212"/>
    <n v="8166"/>
    <n v="583"/>
    <n v="2.58"/>
    <n v="7965"/>
    <n v="23.87"/>
    <x v="3"/>
    <x v="1"/>
    <n v="9"/>
  </r>
  <r>
    <x v="2"/>
    <x v="4"/>
    <n v="49071"/>
    <n v="13982"/>
    <n v="678"/>
    <n v="3.91"/>
    <n v="11961"/>
    <n v="4.24"/>
    <x v="3"/>
    <x v="1"/>
    <n v="4"/>
  </r>
  <r>
    <x v="3"/>
    <x v="3"/>
    <n v="122990"/>
    <n v="41697"/>
    <n v="211"/>
    <n v="2.38"/>
    <n v="6603"/>
    <n v="3.91"/>
    <x v="2"/>
    <x v="0"/>
    <n v="3"/>
  </r>
  <r>
    <x v="1"/>
    <x v="1"/>
    <n v="79519"/>
    <n v="39115"/>
    <n v="26"/>
    <n v="3.68"/>
    <n v="12697"/>
    <n v="19.3"/>
    <x v="0"/>
    <x v="0"/>
    <n v="1"/>
  </r>
  <r>
    <x v="2"/>
    <x v="1"/>
    <n v="19503"/>
    <n v="8269"/>
    <n v="331"/>
    <n v="4.22"/>
    <n v="15924"/>
    <n v="5.92"/>
    <x v="1"/>
    <x v="1"/>
    <n v="7"/>
  </r>
  <r>
    <x v="3"/>
    <x v="0"/>
    <n v="105457"/>
    <n v="29064"/>
    <n v="527"/>
    <n v="4.79"/>
    <n v="16553"/>
    <n v="2.93"/>
    <x v="2"/>
    <x v="0"/>
    <n v="6"/>
  </r>
  <r>
    <x v="3"/>
    <x v="0"/>
    <n v="198938"/>
    <n v="14527"/>
    <n v="579"/>
    <n v="2.6"/>
    <n v="740"/>
    <n v="5.01"/>
    <x v="1"/>
    <x v="2"/>
    <n v="4"/>
  </r>
  <r>
    <x v="3"/>
    <x v="3"/>
    <n v="157977"/>
    <n v="3454"/>
    <n v="334"/>
    <n v="4.13"/>
    <n v="5131"/>
    <n v="27.71"/>
    <x v="3"/>
    <x v="0"/>
    <n v="6"/>
  </r>
  <r>
    <x v="3"/>
    <x v="2"/>
    <n v="55838"/>
    <n v="21878"/>
    <n v="421"/>
    <n v="2.06"/>
    <n v="10099"/>
    <n v="24.64"/>
    <x v="1"/>
    <x v="0"/>
    <n v="6"/>
  </r>
  <r>
    <x v="3"/>
    <x v="4"/>
    <n v="135200"/>
    <n v="13991"/>
    <n v="327"/>
    <n v="4.96"/>
    <n v="12194"/>
    <n v="10.62"/>
    <x v="0"/>
    <x v="1"/>
    <n v="4"/>
  </r>
  <r>
    <x v="0"/>
    <x v="0"/>
    <n v="199351"/>
    <n v="3808"/>
    <n v="690"/>
    <n v="1.1000000000000001"/>
    <n v="5577"/>
    <n v="19.670000000000002"/>
    <x v="2"/>
    <x v="0"/>
    <n v="6"/>
  </r>
  <r>
    <x v="2"/>
    <x v="1"/>
    <n v="99489"/>
    <n v="40410"/>
    <n v="974"/>
    <n v="3.41"/>
    <n v="4268"/>
    <n v="16.12"/>
    <x v="0"/>
    <x v="0"/>
    <n v="8"/>
  </r>
  <r>
    <x v="0"/>
    <x v="3"/>
    <n v="36806"/>
    <n v="37593"/>
    <n v="91"/>
    <n v="3.64"/>
    <n v="9642"/>
    <n v="20.309999999999999"/>
    <x v="0"/>
    <x v="0"/>
    <n v="3"/>
  </r>
  <r>
    <x v="1"/>
    <x v="4"/>
    <n v="186072"/>
    <n v="37304"/>
    <n v="483"/>
    <n v="3.75"/>
    <n v="8495"/>
    <n v="20.48"/>
    <x v="2"/>
    <x v="2"/>
    <n v="4"/>
  </r>
  <r>
    <x v="3"/>
    <x v="3"/>
    <n v="163240"/>
    <n v="31386"/>
    <n v="477"/>
    <n v="1.48"/>
    <n v="13776"/>
    <n v="18.86"/>
    <x v="0"/>
    <x v="0"/>
    <n v="1"/>
  </r>
  <r>
    <x v="2"/>
    <x v="4"/>
    <n v="80119"/>
    <n v="49077"/>
    <n v="434"/>
    <n v="4.75"/>
    <n v="13246"/>
    <n v="7.98"/>
    <x v="4"/>
    <x v="2"/>
    <n v="4"/>
  </r>
  <r>
    <x v="3"/>
    <x v="4"/>
    <n v="48714"/>
    <n v="4802"/>
    <n v="954"/>
    <n v="1.72"/>
    <n v="11975"/>
    <n v="1.17"/>
    <x v="4"/>
    <x v="2"/>
    <n v="9"/>
  </r>
  <r>
    <x v="2"/>
    <x v="0"/>
    <n v="195165"/>
    <n v="29753"/>
    <n v="740"/>
    <n v="3.49"/>
    <n v="19057"/>
    <n v="13.67"/>
    <x v="4"/>
    <x v="2"/>
    <n v="8"/>
  </r>
  <r>
    <x v="0"/>
    <x v="3"/>
    <n v="65419"/>
    <n v="22083"/>
    <n v="698"/>
    <n v="1.89"/>
    <n v="7068"/>
    <n v="26.73"/>
    <x v="1"/>
    <x v="2"/>
    <n v="4"/>
  </r>
  <r>
    <x v="2"/>
    <x v="3"/>
    <n v="190217"/>
    <n v="19354"/>
    <n v="213"/>
    <n v="2.23"/>
    <n v="3101"/>
    <n v="17.079999999999998"/>
    <x v="0"/>
    <x v="1"/>
    <n v="7"/>
  </r>
  <r>
    <x v="1"/>
    <x v="1"/>
    <n v="115432"/>
    <n v="23190"/>
    <n v="592"/>
    <n v="3.19"/>
    <n v="19541"/>
    <n v="24.97"/>
    <x v="2"/>
    <x v="2"/>
    <n v="3"/>
  </r>
  <r>
    <x v="1"/>
    <x v="1"/>
    <n v="102949"/>
    <n v="7142"/>
    <n v="396"/>
    <n v="2.67"/>
    <n v="6580"/>
    <n v="29.75"/>
    <x v="2"/>
    <x v="0"/>
    <n v="9"/>
  </r>
  <r>
    <x v="2"/>
    <x v="0"/>
    <n v="143533"/>
    <n v="29398"/>
    <n v="787"/>
    <n v="1.64"/>
    <n v="14354"/>
    <n v="4.91"/>
    <x v="1"/>
    <x v="2"/>
    <n v="4"/>
  </r>
  <r>
    <x v="2"/>
    <x v="0"/>
    <n v="155363"/>
    <n v="42862"/>
    <n v="107"/>
    <n v="1.68"/>
    <n v="2659"/>
    <n v="20.75"/>
    <x v="2"/>
    <x v="0"/>
    <n v="2"/>
  </r>
  <r>
    <x v="2"/>
    <x v="2"/>
    <n v="187876"/>
    <n v="34132"/>
    <n v="354"/>
    <n v="2.67"/>
    <n v="8813"/>
    <n v="20.23"/>
    <x v="4"/>
    <x v="2"/>
    <n v="5"/>
  </r>
  <r>
    <x v="2"/>
    <x v="1"/>
    <n v="86971"/>
    <n v="20503"/>
    <n v="812"/>
    <n v="4.03"/>
    <n v="4868"/>
    <n v="29.4"/>
    <x v="0"/>
    <x v="1"/>
    <n v="2"/>
  </r>
  <r>
    <x v="1"/>
    <x v="4"/>
    <n v="103471"/>
    <n v="49456"/>
    <n v="217"/>
    <n v="4.59"/>
    <n v="1817"/>
    <n v="29.57"/>
    <x v="2"/>
    <x v="2"/>
    <n v="6"/>
  </r>
  <r>
    <x v="3"/>
    <x v="3"/>
    <n v="74946"/>
    <n v="35631"/>
    <n v="523"/>
    <n v="1.34"/>
    <n v="13772"/>
    <n v="20.6"/>
    <x v="2"/>
    <x v="2"/>
    <n v="1"/>
  </r>
  <r>
    <x v="2"/>
    <x v="0"/>
    <n v="108989"/>
    <n v="17499"/>
    <n v="645"/>
    <n v="2.57"/>
    <n v="1730"/>
    <n v="7.31"/>
    <x v="3"/>
    <x v="1"/>
    <n v="6"/>
  </r>
  <r>
    <x v="2"/>
    <x v="3"/>
    <n v="94080"/>
    <n v="40852"/>
    <n v="801"/>
    <n v="1.4"/>
    <n v="18017"/>
    <n v="23.96"/>
    <x v="3"/>
    <x v="2"/>
    <n v="4"/>
  </r>
  <r>
    <x v="1"/>
    <x v="3"/>
    <n v="87794"/>
    <n v="9016"/>
    <n v="595"/>
    <n v="1.07"/>
    <n v="1801"/>
    <n v="3.21"/>
    <x v="3"/>
    <x v="0"/>
    <n v="3"/>
  </r>
  <r>
    <x v="1"/>
    <x v="2"/>
    <n v="40841"/>
    <n v="3384"/>
    <n v="175"/>
    <n v="3.65"/>
    <n v="16427"/>
    <n v="23.42"/>
    <x v="0"/>
    <x v="2"/>
    <n v="2"/>
  </r>
  <r>
    <x v="0"/>
    <x v="1"/>
    <n v="134447"/>
    <n v="16072"/>
    <n v="31"/>
    <n v="3.41"/>
    <n v="2410"/>
    <n v="27.31"/>
    <x v="4"/>
    <x v="2"/>
    <n v="7"/>
  </r>
  <r>
    <x v="2"/>
    <x v="0"/>
    <n v="130029"/>
    <n v="37703"/>
    <n v="163"/>
    <n v="1.65"/>
    <n v="15404"/>
    <n v="11.49"/>
    <x v="4"/>
    <x v="2"/>
    <n v="9"/>
  </r>
  <r>
    <x v="0"/>
    <x v="3"/>
    <n v="189830"/>
    <n v="46895"/>
    <n v="948"/>
    <n v="1.94"/>
    <n v="8607"/>
    <n v="18.920000000000002"/>
    <x v="4"/>
    <x v="1"/>
    <n v="3"/>
  </r>
  <r>
    <x v="1"/>
    <x v="0"/>
    <n v="86272"/>
    <n v="15482"/>
    <n v="448"/>
    <n v="1.0900000000000001"/>
    <n v="18800"/>
    <n v="12.9"/>
    <x v="0"/>
    <x v="2"/>
    <n v="6"/>
  </r>
  <r>
    <x v="1"/>
    <x v="4"/>
    <n v="47643"/>
    <n v="41510"/>
    <n v="304"/>
    <n v="4.34"/>
    <n v="3257"/>
    <n v="13.13"/>
    <x v="0"/>
    <x v="2"/>
    <n v="9"/>
  </r>
  <r>
    <x v="3"/>
    <x v="2"/>
    <n v="191480"/>
    <n v="49933"/>
    <n v="228"/>
    <n v="4.9000000000000004"/>
    <n v="6964"/>
    <n v="9.31"/>
    <x v="3"/>
    <x v="0"/>
    <n v="2"/>
  </r>
  <r>
    <x v="2"/>
    <x v="4"/>
    <n v="53950"/>
    <n v="22826"/>
    <n v="678"/>
    <n v="1.54"/>
    <n v="17062"/>
    <n v="22.86"/>
    <x v="2"/>
    <x v="2"/>
    <n v="7"/>
  </r>
  <r>
    <x v="0"/>
    <x v="0"/>
    <n v="197921"/>
    <n v="3490"/>
    <n v="504"/>
    <n v="1.93"/>
    <n v="9588"/>
    <n v="28.09"/>
    <x v="1"/>
    <x v="2"/>
    <n v="5"/>
  </r>
  <r>
    <x v="1"/>
    <x v="0"/>
    <n v="110500"/>
    <n v="47092"/>
    <n v="239"/>
    <n v="4.47"/>
    <n v="15624"/>
    <n v="28.22"/>
    <x v="1"/>
    <x v="2"/>
    <n v="5"/>
  </r>
  <r>
    <x v="1"/>
    <x v="1"/>
    <n v="169116"/>
    <n v="26518"/>
    <n v="29"/>
    <n v="4.71"/>
    <n v="14760"/>
    <n v="5.24"/>
    <x v="2"/>
    <x v="2"/>
    <n v="7"/>
  </r>
  <r>
    <x v="0"/>
    <x v="3"/>
    <n v="135588"/>
    <n v="25045"/>
    <n v="996"/>
    <n v="2.68"/>
    <n v="10243"/>
    <n v="26.24"/>
    <x v="3"/>
    <x v="0"/>
    <n v="9"/>
  </r>
  <r>
    <x v="3"/>
    <x v="3"/>
    <n v="25997"/>
    <n v="27910"/>
    <n v="562"/>
    <n v="1.2"/>
    <n v="9183"/>
    <n v="22.12"/>
    <x v="2"/>
    <x v="0"/>
    <n v="4"/>
  </r>
  <r>
    <x v="1"/>
    <x v="4"/>
    <n v="89751"/>
    <n v="25566"/>
    <n v="959"/>
    <n v="1.1599999999999999"/>
    <n v="560"/>
    <n v="7.59"/>
    <x v="2"/>
    <x v="1"/>
    <n v="9"/>
  </r>
  <r>
    <x v="2"/>
    <x v="2"/>
    <n v="108605"/>
    <n v="34905"/>
    <n v="157"/>
    <n v="3.3"/>
    <n v="9769"/>
    <n v="2.02"/>
    <x v="1"/>
    <x v="2"/>
    <n v="9"/>
  </r>
  <r>
    <x v="1"/>
    <x v="3"/>
    <n v="164983"/>
    <n v="28103"/>
    <n v="117"/>
    <n v="2.57"/>
    <n v="3395"/>
    <n v="8.0399999999999991"/>
    <x v="3"/>
    <x v="1"/>
    <n v="4"/>
  </r>
  <r>
    <x v="2"/>
    <x v="1"/>
    <n v="65533"/>
    <n v="37188"/>
    <n v="412"/>
    <n v="1.1100000000000001"/>
    <n v="15823"/>
    <n v="27.37"/>
    <x v="0"/>
    <x v="1"/>
    <n v="3"/>
  </r>
  <r>
    <x v="0"/>
    <x v="4"/>
    <n v="92566"/>
    <n v="6845"/>
    <n v="605"/>
    <n v="3.33"/>
    <n v="12852"/>
    <n v="19"/>
    <x v="1"/>
    <x v="2"/>
    <n v="2"/>
  </r>
  <r>
    <x v="2"/>
    <x v="4"/>
    <n v="155643"/>
    <n v="22162"/>
    <n v="492"/>
    <n v="1.05"/>
    <n v="12375"/>
    <n v="21.63"/>
    <x v="0"/>
    <x v="0"/>
    <n v="9"/>
  </r>
  <r>
    <x v="0"/>
    <x v="1"/>
    <n v="118255"/>
    <n v="37674"/>
    <n v="376"/>
    <n v="4.1500000000000004"/>
    <n v="17469"/>
    <n v="7.71"/>
    <x v="3"/>
    <x v="0"/>
    <n v="2"/>
  </r>
  <r>
    <x v="2"/>
    <x v="2"/>
    <n v="199013"/>
    <n v="20337"/>
    <n v="843"/>
    <n v="2.23"/>
    <n v="6323"/>
    <n v="21.58"/>
    <x v="2"/>
    <x v="2"/>
    <n v="6"/>
  </r>
  <r>
    <x v="0"/>
    <x v="1"/>
    <n v="68005"/>
    <n v="23313"/>
    <n v="423"/>
    <n v="1.1599999999999999"/>
    <n v="12462"/>
    <n v="0.84"/>
    <x v="4"/>
    <x v="2"/>
    <n v="5"/>
  </r>
  <r>
    <x v="2"/>
    <x v="2"/>
    <n v="199784"/>
    <n v="27943"/>
    <n v="318"/>
    <n v="3.35"/>
    <n v="1034"/>
    <n v="11.26"/>
    <x v="4"/>
    <x v="0"/>
    <n v="5"/>
  </r>
  <r>
    <x v="3"/>
    <x v="1"/>
    <n v="53541"/>
    <n v="13413"/>
    <n v="811"/>
    <n v="2.59"/>
    <n v="4511"/>
    <n v="18.8"/>
    <x v="3"/>
    <x v="2"/>
    <n v="4"/>
  </r>
  <r>
    <x v="2"/>
    <x v="1"/>
    <n v="33387"/>
    <n v="1276"/>
    <n v="927"/>
    <n v="4.9000000000000004"/>
    <n v="2655"/>
    <n v="4.38"/>
    <x v="4"/>
    <x v="2"/>
    <n v="6"/>
  </r>
  <r>
    <x v="2"/>
    <x v="0"/>
    <n v="103980"/>
    <n v="18611"/>
    <n v="844"/>
    <n v="3.18"/>
    <n v="7457"/>
    <n v="24.69"/>
    <x v="0"/>
    <x v="2"/>
    <n v="5"/>
  </r>
  <r>
    <x v="3"/>
    <x v="4"/>
    <n v="189980"/>
    <n v="40105"/>
    <n v="143"/>
    <n v="2.1"/>
    <n v="9696"/>
    <n v="7.05"/>
    <x v="4"/>
    <x v="0"/>
    <n v="4"/>
  </r>
  <r>
    <x v="1"/>
    <x v="1"/>
    <n v="95457"/>
    <n v="12944"/>
    <n v="728"/>
    <n v="3.84"/>
    <n v="11191"/>
    <n v="19.57"/>
    <x v="3"/>
    <x v="1"/>
    <n v="9"/>
  </r>
  <r>
    <x v="1"/>
    <x v="1"/>
    <n v="154129"/>
    <n v="16906"/>
    <n v="292"/>
    <n v="2.09"/>
    <n v="13827"/>
    <n v="12.16"/>
    <x v="3"/>
    <x v="1"/>
    <n v="6"/>
  </r>
  <r>
    <x v="2"/>
    <x v="3"/>
    <n v="74028"/>
    <n v="21536"/>
    <n v="787"/>
    <n v="4.62"/>
    <n v="3206"/>
    <n v="17.88"/>
    <x v="0"/>
    <x v="2"/>
    <n v="3"/>
  </r>
  <r>
    <x v="3"/>
    <x v="4"/>
    <n v="129246"/>
    <n v="28810"/>
    <n v="82"/>
    <n v="2.5"/>
    <n v="501"/>
    <n v="3.22"/>
    <x v="4"/>
    <x v="0"/>
    <n v="6"/>
  </r>
  <r>
    <x v="2"/>
    <x v="3"/>
    <n v="65731"/>
    <n v="13306"/>
    <n v="490"/>
    <n v="3.2"/>
    <n v="9725"/>
    <n v="0.51"/>
    <x v="4"/>
    <x v="2"/>
    <n v="1"/>
  </r>
  <r>
    <x v="0"/>
    <x v="4"/>
    <n v="165930"/>
    <n v="11503"/>
    <n v="361"/>
    <n v="1.2"/>
    <n v="17988"/>
    <n v="27.29"/>
    <x v="2"/>
    <x v="0"/>
    <n v="5"/>
  </r>
  <r>
    <x v="0"/>
    <x v="3"/>
    <n v="189761"/>
    <n v="20225"/>
    <n v="569"/>
    <n v="2.7"/>
    <n v="15320"/>
    <n v="8.09"/>
    <x v="1"/>
    <x v="2"/>
    <n v="6"/>
  </r>
  <r>
    <x v="2"/>
    <x v="1"/>
    <n v="54638"/>
    <n v="37976"/>
    <n v="335"/>
    <n v="4.33"/>
    <n v="11391"/>
    <n v="24.59"/>
    <x v="3"/>
    <x v="0"/>
    <n v="8"/>
  </r>
  <r>
    <x v="1"/>
    <x v="1"/>
    <n v="187558"/>
    <n v="12590"/>
    <n v="754"/>
    <n v="4.22"/>
    <n v="2361"/>
    <n v="29.98"/>
    <x v="2"/>
    <x v="0"/>
    <n v="9"/>
  </r>
  <r>
    <x v="1"/>
    <x v="0"/>
    <n v="30567"/>
    <n v="11886"/>
    <n v="452"/>
    <n v="1.9"/>
    <n v="5769"/>
    <n v="6.34"/>
    <x v="3"/>
    <x v="1"/>
    <n v="3"/>
  </r>
  <r>
    <x v="2"/>
    <x v="3"/>
    <n v="170811"/>
    <n v="13866"/>
    <n v="109"/>
    <n v="1.9"/>
    <n v="11612"/>
    <n v="7.96"/>
    <x v="2"/>
    <x v="2"/>
    <n v="2"/>
  </r>
  <r>
    <x v="2"/>
    <x v="2"/>
    <n v="67804"/>
    <n v="2088"/>
    <n v="68"/>
    <n v="4.2699999999999996"/>
    <n v="16199"/>
    <n v="19.89"/>
    <x v="1"/>
    <x v="1"/>
    <n v="4"/>
  </r>
  <r>
    <x v="0"/>
    <x v="0"/>
    <n v="118821"/>
    <n v="4363"/>
    <n v="517"/>
    <n v="4.72"/>
    <n v="8820"/>
    <n v="28.96"/>
    <x v="2"/>
    <x v="1"/>
    <n v="8"/>
  </r>
  <r>
    <x v="1"/>
    <x v="3"/>
    <n v="13754"/>
    <n v="33792"/>
    <n v="267"/>
    <n v="1.38"/>
    <n v="17321"/>
    <n v="27.47"/>
    <x v="3"/>
    <x v="0"/>
    <n v="8"/>
  </r>
  <r>
    <x v="2"/>
    <x v="3"/>
    <n v="37044"/>
    <n v="10764"/>
    <n v="422"/>
    <n v="2.8"/>
    <n v="11240"/>
    <n v="15.09"/>
    <x v="4"/>
    <x v="2"/>
    <n v="3"/>
  </r>
  <r>
    <x v="0"/>
    <x v="0"/>
    <n v="77260"/>
    <n v="21620"/>
    <n v="461"/>
    <n v="2.35"/>
    <n v="3629"/>
    <n v="23.85"/>
    <x v="3"/>
    <x v="0"/>
    <n v="4"/>
  </r>
  <r>
    <x v="1"/>
    <x v="1"/>
    <n v="76912"/>
    <n v="43727"/>
    <n v="74"/>
    <n v="4.4800000000000004"/>
    <n v="17785"/>
    <n v="4.07"/>
    <x v="0"/>
    <x v="0"/>
    <n v="3"/>
  </r>
  <r>
    <x v="3"/>
    <x v="3"/>
    <n v="18706"/>
    <n v="13935"/>
    <n v="604"/>
    <n v="1.33"/>
    <n v="14880"/>
    <n v="29.32"/>
    <x v="0"/>
    <x v="0"/>
    <n v="2"/>
  </r>
  <r>
    <x v="0"/>
    <x v="1"/>
    <n v="18894"/>
    <n v="9068"/>
    <n v="163"/>
    <n v="1.84"/>
    <n v="11860"/>
    <n v="28.93"/>
    <x v="0"/>
    <x v="2"/>
    <n v="4"/>
  </r>
  <r>
    <x v="1"/>
    <x v="0"/>
    <n v="159109"/>
    <n v="8295"/>
    <n v="994"/>
    <n v="4.01"/>
    <n v="5898"/>
    <n v="4.91"/>
    <x v="0"/>
    <x v="2"/>
    <n v="6"/>
  </r>
  <r>
    <x v="1"/>
    <x v="1"/>
    <n v="93986"/>
    <n v="42160"/>
    <n v="275"/>
    <n v="1.21"/>
    <n v="6029"/>
    <n v="8.98"/>
    <x v="1"/>
    <x v="0"/>
    <n v="5"/>
  </r>
  <r>
    <x v="0"/>
    <x v="4"/>
    <n v="91942"/>
    <n v="12390"/>
    <n v="830"/>
    <n v="2.97"/>
    <n v="4418"/>
    <n v="3"/>
    <x v="4"/>
    <x v="2"/>
    <n v="3"/>
  </r>
  <r>
    <x v="3"/>
    <x v="2"/>
    <n v="192684"/>
    <n v="42216"/>
    <n v="88"/>
    <n v="2.77"/>
    <n v="17951"/>
    <n v="8.15"/>
    <x v="4"/>
    <x v="0"/>
    <n v="2"/>
  </r>
  <r>
    <x v="0"/>
    <x v="3"/>
    <n v="39725"/>
    <n v="21131"/>
    <n v="324"/>
    <n v="2.34"/>
    <n v="16910"/>
    <n v="24.48"/>
    <x v="3"/>
    <x v="2"/>
    <n v="9"/>
  </r>
  <r>
    <x v="1"/>
    <x v="2"/>
    <n v="146998"/>
    <n v="30218"/>
    <n v="671"/>
    <n v="2.58"/>
    <n v="7437"/>
    <n v="11.35"/>
    <x v="2"/>
    <x v="2"/>
    <n v="1"/>
  </r>
  <r>
    <x v="2"/>
    <x v="1"/>
    <n v="114555"/>
    <n v="11433"/>
    <n v="956"/>
    <n v="3.12"/>
    <n v="7618"/>
    <n v="2.65"/>
    <x v="3"/>
    <x v="1"/>
    <n v="9"/>
  </r>
  <r>
    <x v="2"/>
    <x v="3"/>
    <n v="19496"/>
    <n v="16038"/>
    <n v="569"/>
    <n v="1.65"/>
    <n v="17431"/>
    <n v="10.27"/>
    <x v="3"/>
    <x v="0"/>
    <n v="1"/>
  </r>
  <r>
    <x v="0"/>
    <x v="1"/>
    <n v="66447"/>
    <n v="29182"/>
    <n v="926"/>
    <n v="3.29"/>
    <n v="11360"/>
    <n v="29.44"/>
    <x v="3"/>
    <x v="1"/>
    <n v="7"/>
  </r>
  <r>
    <x v="1"/>
    <x v="4"/>
    <n v="111604"/>
    <n v="12528"/>
    <n v="900"/>
    <n v="4.22"/>
    <n v="5838"/>
    <n v="18.89"/>
    <x v="3"/>
    <x v="1"/>
    <n v="6"/>
  </r>
  <r>
    <x v="2"/>
    <x v="0"/>
    <n v="170878"/>
    <n v="22281"/>
    <n v="257"/>
    <n v="4.04"/>
    <n v="12972"/>
    <n v="12.48"/>
    <x v="4"/>
    <x v="0"/>
    <n v="7"/>
  </r>
  <r>
    <x v="1"/>
    <x v="3"/>
    <n v="98199"/>
    <n v="49511"/>
    <n v="799"/>
    <n v="1.62"/>
    <n v="3640"/>
    <n v="5"/>
    <x v="2"/>
    <x v="0"/>
    <n v="3"/>
  </r>
  <r>
    <x v="0"/>
    <x v="4"/>
    <n v="51321"/>
    <n v="9605"/>
    <n v="877"/>
    <n v="1.6"/>
    <n v="8496"/>
    <n v="29.59"/>
    <x v="3"/>
    <x v="2"/>
    <n v="3"/>
  </r>
  <r>
    <x v="2"/>
    <x v="4"/>
    <n v="163728"/>
    <n v="35782"/>
    <n v="619"/>
    <n v="2.0699999999999998"/>
    <n v="15989"/>
    <n v="24.63"/>
    <x v="4"/>
    <x v="0"/>
    <n v="1"/>
  </r>
  <r>
    <x v="1"/>
    <x v="3"/>
    <n v="65147"/>
    <n v="2381"/>
    <n v="423"/>
    <n v="2.44"/>
    <n v="18474"/>
    <n v="8.44"/>
    <x v="3"/>
    <x v="1"/>
    <n v="4"/>
  </r>
  <r>
    <x v="2"/>
    <x v="1"/>
    <n v="101396"/>
    <n v="2098"/>
    <n v="34"/>
    <n v="2.63"/>
    <n v="14701"/>
    <n v="2.1"/>
    <x v="0"/>
    <x v="1"/>
    <n v="2"/>
  </r>
  <r>
    <x v="0"/>
    <x v="4"/>
    <n v="190738"/>
    <n v="20810"/>
    <n v="293"/>
    <n v="3.72"/>
    <n v="8276"/>
    <n v="1.7"/>
    <x v="3"/>
    <x v="0"/>
    <n v="8"/>
  </r>
  <r>
    <x v="1"/>
    <x v="2"/>
    <n v="48787"/>
    <n v="25322"/>
    <n v="458"/>
    <n v="1.23"/>
    <n v="5443"/>
    <n v="3.61"/>
    <x v="3"/>
    <x v="1"/>
    <n v="3"/>
  </r>
  <r>
    <x v="2"/>
    <x v="4"/>
    <n v="31727"/>
    <n v="42869"/>
    <n v="890"/>
    <n v="1.1399999999999999"/>
    <n v="13386"/>
    <n v="17.420000000000002"/>
    <x v="1"/>
    <x v="2"/>
    <n v="7"/>
  </r>
  <r>
    <x v="0"/>
    <x v="1"/>
    <n v="105081"/>
    <n v="33955"/>
    <n v="310"/>
    <n v="2.57"/>
    <n v="9497"/>
    <n v="27.86"/>
    <x v="0"/>
    <x v="1"/>
    <n v="7"/>
  </r>
  <r>
    <x v="2"/>
    <x v="1"/>
    <n v="132721"/>
    <n v="45716"/>
    <n v="77"/>
    <n v="3.79"/>
    <n v="8298"/>
    <n v="14.9"/>
    <x v="2"/>
    <x v="2"/>
    <n v="9"/>
  </r>
  <r>
    <x v="2"/>
    <x v="2"/>
    <n v="78056"/>
    <n v="11207"/>
    <n v="16"/>
    <n v="1.77"/>
    <n v="18241"/>
    <n v="25.29"/>
    <x v="3"/>
    <x v="1"/>
    <n v="6"/>
  </r>
  <r>
    <x v="3"/>
    <x v="4"/>
    <n v="144153"/>
    <n v="22793"/>
    <n v="826"/>
    <n v="3.57"/>
    <n v="8592"/>
    <n v="13.38"/>
    <x v="2"/>
    <x v="2"/>
    <n v="1"/>
  </r>
  <r>
    <x v="3"/>
    <x v="1"/>
    <n v="175268"/>
    <n v="3092"/>
    <n v="146"/>
    <n v="2.04"/>
    <n v="3725"/>
    <n v="21.26"/>
    <x v="0"/>
    <x v="2"/>
    <n v="8"/>
  </r>
  <r>
    <x v="0"/>
    <x v="3"/>
    <n v="177807"/>
    <n v="29220"/>
    <n v="173"/>
    <n v="4.54"/>
    <n v="12310"/>
    <n v="21.96"/>
    <x v="3"/>
    <x v="0"/>
    <n v="1"/>
  </r>
  <r>
    <x v="3"/>
    <x v="0"/>
    <n v="90102"/>
    <n v="19514"/>
    <n v="92"/>
    <n v="4.58"/>
    <n v="15414"/>
    <n v="5.22"/>
    <x v="1"/>
    <x v="2"/>
    <n v="3"/>
  </r>
  <r>
    <x v="0"/>
    <x v="0"/>
    <n v="166570"/>
    <n v="39010"/>
    <n v="906"/>
    <n v="2.19"/>
    <n v="2960"/>
    <n v="10.84"/>
    <x v="4"/>
    <x v="0"/>
    <n v="5"/>
  </r>
  <r>
    <x v="3"/>
    <x v="0"/>
    <n v="86865"/>
    <n v="9549"/>
    <n v="659"/>
    <n v="1.92"/>
    <n v="9237"/>
    <n v="19.12"/>
    <x v="1"/>
    <x v="1"/>
    <n v="8"/>
  </r>
  <r>
    <x v="2"/>
    <x v="4"/>
    <n v="172728"/>
    <n v="23031"/>
    <n v="429"/>
    <n v="2.65"/>
    <n v="14420"/>
    <n v="2.12"/>
    <x v="1"/>
    <x v="1"/>
    <n v="9"/>
  </r>
  <r>
    <x v="0"/>
    <x v="2"/>
    <n v="77695"/>
    <n v="6185"/>
    <n v="82"/>
    <n v="1.96"/>
    <n v="19612"/>
    <n v="10.85"/>
    <x v="4"/>
    <x v="1"/>
    <n v="7"/>
  </r>
  <r>
    <x v="0"/>
    <x v="1"/>
    <n v="178972"/>
    <n v="16271"/>
    <n v="246"/>
    <n v="3.69"/>
    <n v="11254"/>
    <n v="16.04"/>
    <x v="4"/>
    <x v="2"/>
    <n v="9"/>
  </r>
  <r>
    <x v="2"/>
    <x v="3"/>
    <n v="127235"/>
    <n v="6776"/>
    <n v="55"/>
    <n v="4.3"/>
    <n v="11333"/>
    <n v="29.89"/>
    <x v="4"/>
    <x v="1"/>
    <n v="3"/>
  </r>
  <r>
    <x v="0"/>
    <x v="3"/>
    <n v="188773"/>
    <n v="13449"/>
    <n v="627"/>
    <n v="3.69"/>
    <n v="3614"/>
    <n v="14.24"/>
    <x v="3"/>
    <x v="1"/>
    <n v="5"/>
  </r>
  <r>
    <x v="0"/>
    <x v="4"/>
    <n v="118777"/>
    <n v="25297"/>
    <n v="937"/>
    <n v="4.3"/>
    <n v="17500"/>
    <n v="24.48"/>
    <x v="2"/>
    <x v="0"/>
    <n v="8"/>
  </r>
  <r>
    <x v="3"/>
    <x v="0"/>
    <n v="29033"/>
    <n v="41591"/>
    <n v="809"/>
    <n v="2.59"/>
    <n v="15860"/>
    <n v="12.96"/>
    <x v="2"/>
    <x v="0"/>
    <n v="1"/>
  </r>
  <r>
    <x v="0"/>
    <x v="4"/>
    <n v="151877"/>
    <n v="16717"/>
    <n v="271"/>
    <n v="1.63"/>
    <n v="18087"/>
    <n v="23.89"/>
    <x v="4"/>
    <x v="1"/>
    <n v="8"/>
  </r>
  <r>
    <x v="1"/>
    <x v="2"/>
    <n v="176923"/>
    <n v="41123"/>
    <n v="185"/>
    <n v="3.95"/>
    <n v="10451"/>
    <n v="17.86"/>
    <x v="1"/>
    <x v="1"/>
    <n v="7"/>
  </r>
  <r>
    <x v="2"/>
    <x v="2"/>
    <n v="36832"/>
    <n v="40233"/>
    <n v="175"/>
    <n v="2.44"/>
    <n v="3065"/>
    <n v="26.6"/>
    <x v="0"/>
    <x v="2"/>
    <n v="1"/>
  </r>
  <r>
    <x v="3"/>
    <x v="1"/>
    <n v="125725"/>
    <n v="46505"/>
    <n v="666"/>
    <n v="3.69"/>
    <n v="3674"/>
    <n v="12.33"/>
    <x v="4"/>
    <x v="2"/>
    <n v="6"/>
  </r>
  <r>
    <x v="3"/>
    <x v="1"/>
    <n v="155016"/>
    <n v="47092"/>
    <n v="851"/>
    <n v="2.08"/>
    <n v="19965"/>
    <n v="18.13"/>
    <x v="1"/>
    <x v="1"/>
    <n v="1"/>
  </r>
  <r>
    <x v="1"/>
    <x v="2"/>
    <n v="29873"/>
    <n v="11350"/>
    <n v="379"/>
    <n v="1.32"/>
    <n v="3130"/>
    <n v="18.899999999999999"/>
    <x v="1"/>
    <x v="0"/>
    <n v="2"/>
  </r>
  <r>
    <x v="2"/>
    <x v="2"/>
    <n v="50372"/>
    <n v="31622"/>
    <n v="804"/>
    <n v="4.97"/>
    <n v="3661"/>
    <n v="12.52"/>
    <x v="3"/>
    <x v="1"/>
    <n v="5"/>
  </r>
  <r>
    <x v="2"/>
    <x v="2"/>
    <n v="99464"/>
    <n v="36323"/>
    <n v="63"/>
    <n v="1.62"/>
    <n v="4821"/>
    <n v="4.33"/>
    <x v="3"/>
    <x v="2"/>
    <n v="2"/>
  </r>
  <r>
    <x v="3"/>
    <x v="4"/>
    <n v="156451"/>
    <n v="3951"/>
    <n v="699"/>
    <n v="4.95"/>
    <n v="13704"/>
    <n v="2.81"/>
    <x v="2"/>
    <x v="0"/>
    <n v="1"/>
  </r>
  <r>
    <x v="0"/>
    <x v="2"/>
    <n v="127322"/>
    <n v="18622"/>
    <n v="428"/>
    <n v="4.91"/>
    <n v="7599"/>
    <n v="0.5"/>
    <x v="2"/>
    <x v="0"/>
    <n v="6"/>
  </r>
  <r>
    <x v="3"/>
    <x v="3"/>
    <n v="177823"/>
    <n v="5727"/>
    <n v="765"/>
    <n v="4.18"/>
    <n v="11860"/>
    <n v="26.21"/>
    <x v="0"/>
    <x v="2"/>
    <n v="8"/>
  </r>
  <r>
    <x v="2"/>
    <x v="0"/>
    <n v="110082"/>
    <n v="39454"/>
    <n v="516"/>
    <n v="3.64"/>
    <n v="10813"/>
    <n v="7.09"/>
    <x v="0"/>
    <x v="1"/>
    <n v="8"/>
  </r>
  <r>
    <x v="1"/>
    <x v="2"/>
    <n v="15110"/>
    <n v="37469"/>
    <n v="350"/>
    <n v="3.31"/>
    <n v="14002"/>
    <n v="6.35"/>
    <x v="0"/>
    <x v="1"/>
    <n v="8"/>
  </r>
  <r>
    <x v="3"/>
    <x v="0"/>
    <n v="195413"/>
    <n v="36548"/>
    <n v="136"/>
    <n v="4.46"/>
    <n v="6301"/>
    <n v="22.08"/>
    <x v="0"/>
    <x v="1"/>
    <n v="6"/>
  </r>
  <r>
    <x v="2"/>
    <x v="4"/>
    <n v="22087"/>
    <n v="24782"/>
    <n v="418"/>
    <n v="2.16"/>
    <n v="14630"/>
    <n v="9.6"/>
    <x v="1"/>
    <x v="2"/>
    <n v="3"/>
  </r>
  <r>
    <x v="3"/>
    <x v="0"/>
    <n v="164834"/>
    <n v="29454"/>
    <n v="933"/>
    <n v="2.87"/>
    <n v="14771"/>
    <n v="15.18"/>
    <x v="1"/>
    <x v="0"/>
    <n v="1"/>
  </r>
  <r>
    <x v="0"/>
    <x v="4"/>
    <n v="92617"/>
    <n v="3368"/>
    <n v="376"/>
    <n v="3.48"/>
    <n v="16575"/>
    <n v="4.88"/>
    <x v="2"/>
    <x v="2"/>
    <n v="2"/>
  </r>
  <r>
    <x v="3"/>
    <x v="3"/>
    <n v="110483"/>
    <n v="16592"/>
    <n v="280"/>
    <n v="2.64"/>
    <n v="4651"/>
    <n v="28.79"/>
    <x v="3"/>
    <x v="1"/>
    <n v="5"/>
  </r>
  <r>
    <x v="3"/>
    <x v="4"/>
    <n v="19596"/>
    <n v="23173"/>
    <n v="653"/>
    <n v="2.71"/>
    <n v="9411"/>
    <n v="25.55"/>
    <x v="3"/>
    <x v="2"/>
    <n v="5"/>
  </r>
  <r>
    <x v="2"/>
    <x v="4"/>
    <n v="117539"/>
    <n v="34204"/>
    <n v="614"/>
    <n v="2.3199999999999998"/>
    <n v="19484"/>
    <n v="25.91"/>
    <x v="4"/>
    <x v="0"/>
    <n v="1"/>
  </r>
  <r>
    <x v="2"/>
    <x v="1"/>
    <n v="28313"/>
    <n v="36596"/>
    <n v="388"/>
    <n v="3.26"/>
    <n v="13361"/>
    <n v="12.2"/>
    <x v="1"/>
    <x v="2"/>
    <n v="1"/>
  </r>
  <r>
    <x v="2"/>
    <x v="2"/>
    <n v="123175"/>
    <n v="35324"/>
    <n v="82"/>
    <n v="4.4000000000000004"/>
    <n v="1166"/>
    <n v="22.87"/>
    <x v="0"/>
    <x v="1"/>
    <n v="9"/>
  </r>
  <r>
    <x v="3"/>
    <x v="2"/>
    <n v="124914"/>
    <n v="47132"/>
    <n v="932"/>
    <n v="1.81"/>
    <n v="17167"/>
    <n v="4.32"/>
    <x v="0"/>
    <x v="0"/>
    <n v="2"/>
  </r>
  <r>
    <x v="0"/>
    <x v="3"/>
    <n v="33705"/>
    <n v="24864"/>
    <n v="931"/>
    <n v="4.74"/>
    <n v="6340"/>
    <n v="0.26"/>
    <x v="4"/>
    <x v="2"/>
    <n v="7"/>
  </r>
  <r>
    <x v="1"/>
    <x v="3"/>
    <n v="83445"/>
    <n v="48829"/>
    <n v="924"/>
    <n v="3.76"/>
    <n v="4065"/>
    <n v="0.6"/>
    <x v="3"/>
    <x v="2"/>
    <n v="4"/>
  </r>
  <r>
    <x v="1"/>
    <x v="2"/>
    <n v="113892"/>
    <n v="31750"/>
    <n v="257"/>
    <n v="4.29"/>
    <n v="10926"/>
    <n v="17.600000000000001"/>
    <x v="0"/>
    <x v="0"/>
    <n v="7"/>
  </r>
  <r>
    <x v="2"/>
    <x v="1"/>
    <n v="12023"/>
    <n v="11576"/>
    <n v="869"/>
    <n v="3.22"/>
    <n v="18349"/>
    <n v="13.66"/>
    <x v="3"/>
    <x v="0"/>
    <n v="8"/>
  </r>
  <r>
    <x v="2"/>
    <x v="2"/>
    <n v="129654"/>
    <n v="17566"/>
    <n v="794"/>
    <n v="4.12"/>
    <n v="7866"/>
    <n v="15.54"/>
    <x v="4"/>
    <x v="1"/>
    <n v="5"/>
  </r>
  <r>
    <x v="3"/>
    <x v="1"/>
    <n v="90073"/>
    <n v="8190"/>
    <n v="52"/>
    <n v="1.06"/>
    <n v="16130"/>
    <n v="0.22"/>
    <x v="3"/>
    <x v="0"/>
    <n v="1"/>
  </r>
  <r>
    <x v="1"/>
    <x v="3"/>
    <n v="102197"/>
    <n v="24071"/>
    <n v="386"/>
    <n v="4.2699999999999996"/>
    <n v="7882"/>
    <n v="12.68"/>
    <x v="3"/>
    <x v="1"/>
    <n v="4"/>
  </r>
  <r>
    <x v="2"/>
    <x v="0"/>
    <n v="74429"/>
    <n v="39333"/>
    <n v="50"/>
    <n v="1.1599999999999999"/>
    <n v="16649"/>
    <n v="21.54"/>
    <x v="3"/>
    <x v="2"/>
    <n v="3"/>
  </r>
  <r>
    <x v="0"/>
    <x v="3"/>
    <n v="114195"/>
    <n v="16369"/>
    <n v="179"/>
    <n v="4.5599999999999996"/>
    <n v="16371"/>
    <n v="13.28"/>
    <x v="0"/>
    <x v="1"/>
    <n v="5"/>
  </r>
  <r>
    <x v="0"/>
    <x v="3"/>
    <n v="43848"/>
    <n v="25035"/>
    <n v="955"/>
    <n v="4.97"/>
    <n v="13773"/>
    <n v="21.97"/>
    <x v="2"/>
    <x v="2"/>
    <n v="6"/>
  </r>
  <r>
    <x v="2"/>
    <x v="4"/>
    <n v="178876"/>
    <n v="2589"/>
    <n v="221"/>
    <n v="2.1800000000000002"/>
    <n v="1492"/>
    <n v="6.99"/>
    <x v="1"/>
    <x v="0"/>
    <n v="2"/>
  </r>
  <r>
    <x v="2"/>
    <x v="4"/>
    <n v="156451"/>
    <n v="26235"/>
    <n v="502"/>
    <n v="1.84"/>
    <n v="7358"/>
    <n v="24.39"/>
    <x v="3"/>
    <x v="2"/>
    <n v="7"/>
  </r>
  <r>
    <x v="1"/>
    <x v="4"/>
    <n v="37766"/>
    <n v="1159"/>
    <n v="689"/>
    <n v="4.0599999999999996"/>
    <n v="2621"/>
    <n v="17.649999999999999"/>
    <x v="3"/>
    <x v="0"/>
    <n v="3"/>
  </r>
  <r>
    <x v="1"/>
    <x v="4"/>
    <n v="78099"/>
    <n v="13145"/>
    <n v="48"/>
    <n v="2.0099999999999998"/>
    <n v="12888"/>
    <n v="6.32"/>
    <x v="3"/>
    <x v="2"/>
    <n v="1"/>
  </r>
  <r>
    <x v="3"/>
    <x v="1"/>
    <n v="177132"/>
    <n v="16373"/>
    <n v="378"/>
    <n v="4.46"/>
    <n v="19107"/>
    <n v="7.1"/>
    <x v="2"/>
    <x v="2"/>
    <n v="3"/>
  </r>
  <r>
    <x v="1"/>
    <x v="2"/>
    <n v="79122"/>
    <n v="32921"/>
    <n v="766"/>
    <n v="1.41"/>
    <n v="4636"/>
    <n v="18.84"/>
    <x v="4"/>
    <x v="2"/>
    <n v="9"/>
  </r>
  <r>
    <x v="0"/>
    <x v="0"/>
    <n v="157159"/>
    <n v="40323"/>
    <n v="160"/>
    <n v="1.5"/>
    <n v="17227"/>
    <n v="24.9"/>
    <x v="0"/>
    <x v="2"/>
    <n v="6"/>
  </r>
  <r>
    <x v="0"/>
    <x v="3"/>
    <n v="58868"/>
    <n v="17237"/>
    <n v="120"/>
    <n v="4.92"/>
    <n v="13153"/>
    <n v="12.47"/>
    <x v="2"/>
    <x v="1"/>
    <n v="6"/>
  </r>
  <r>
    <x v="2"/>
    <x v="1"/>
    <n v="129119"/>
    <n v="42971"/>
    <n v="489"/>
    <n v="3.7"/>
    <n v="15979"/>
    <n v="7.75"/>
    <x v="3"/>
    <x v="2"/>
    <n v="4"/>
  </r>
  <r>
    <x v="1"/>
    <x v="0"/>
    <n v="164297"/>
    <n v="9244"/>
    <n v="445"/>
    <n v="4.3899999999999997"/>
    <n v="5323"/>
    <n v="26.01"/>
    <x v="2"/>
    <x v="1"/>
    <n v="8"/>
  </r>
  <r>
    <x v="3"/>
    <x v="1"/>
    <n v="105286"/>
    <n v="15743"/>
    <n v="56"/>
    <n v="2.2999999999999998"/>
    <n v="5420"/>
    <n v="20.079999999999998"/>
    <x v="2"/>
    <x v="0"/>
    <n v="5"/>
  </r>
  <r>
    <x v="0"/>
    <x v="1"/>
    <n v="16643"/>
    <n v="32566"/>
    <n v="584"/>
    <n v="3.71"/>
    <n v="5971"/>
    <n v="13.44"/>
    <x v="2"/>
    <x v="0"/>
    <n v="7"/>
  </r>
  <r>
    <x v="0"/>
    <x v="3"/>
    <n v="46727"/>
    <n v="47101"/>
    <n v="746"/>
    <n v="3.38"/>
    <n v="17772"/>
    <n v="14.64"/>
    <x v="4"/>
    <x v="1"/>
    <n v="9"/>
  </r>
  <r>
    <x v="3"/>
    <x v="2"/>
    <n v="152077"/>
    <n v="47109"/>
    <n v="375"/>
    <n v="3.41"/>
    <n v="10033"/>
    <n v="6.13"/>
    <x v="1"/>
    <x v="0"/>
    <n v="5"/>
  </r>
  <r>
    <x v="3"/>
    <x v="4"/>
    <n v="119079"/>
    <n v="19691"/>
    <n v="78"/>
    <n v="3.73"/>
    <n v="7627"/>
    <n v="18.8"/>
    <x v="0"/>
    <x v="0"/>
    <n v="5"/>
  </r>
  <r>
    <x v="0"/>
    <x v="2"/>
    <n v="75697"/>
    <n v="34996"/>
    <n v="308"/>
    <n v="3.3"/>
    <n v="4220"/>
    <n v="10.76"/>
    <x v="4"/>
    <x v="2"/>
    <n v="4"/>
  </r>
  <r>
    <x v="0"/>
    <x v="3"/>
    <n v="26029"/>
    <n v="6590"/>
    <n v="953"/>
    <n v="2.72"/>
    <n v="19767"/>
    <n v="29.87"/>
    <x v="4"/>
    <x v="2"/>
    <n v="6"/>
  </r>
  <r>
    <x v="3"/>
    <x v="3"/>
    <n v="155298"/>
    <n v="6585"/>
    <n v="811"/>
    <n v="2.1"/>
    <n v="16196"/>
    <n v="14.41"/>
    <x v="1"/>
    <x v="2"/>
    <n v="2"/>
  </r>
  <r>
    <x v="0"/>
    <x v="3"/>
    <n v="169803"/>
    <n v="10227"/>
    <n v="305"/>
    <n v="4.07"/>
    <n v="19299"/>
    <n v="14.58"/>
    <x v="4"/>
    <x v="1"/>
    <n v="3"/>
  </r>
  <r>
    <x v="2"/>
    <x v="0"/>
    <n v="119458"/>
    <n v="29278"/>
    <n v="212"/>
    <n v="1.91"/>
    <n v="19885"/>
    <n v="16.98"/>
    <x v="2"/>
    <x v="1"/>
    <n v="1"/>
  </r>
  <r>
    <x v="2"/>
    <x v="2"/>
    <n v="120384"/>
    <n v="39814"/>
    <n v="70"/>
    <n v="3.77"/>
    <n v="18622"/>
    <n v="27.5"/>
    <x v="2"/>
    <x v="0"/>
    <n v="2"/>
  </r>
  <r>
    <x v="3"/>
    <x v="2"/>
    <n v="78926"/>
    <n v="13237"/>
    <n v="955"/>
    <n v="1.93"/>
    <n v="1864"/>
    <n v="24.02"/>
    <x v="3"/>
    <x v="2"/>
    <n v="2"/>
  </r>
  <r>
    <x v="1"/>
    <x v="1"/>
    <n v="147069"/>
    <n v="16649"/>
    <n v="972"/>
    <n v="3.5"/>
    <n v="3208"/>
    <n v="13.53"/>
    <x v="4"/>
    <x v="1"/>
    <n v="8"/>
  </r>
  <r>
    <x v="3"/>
    <x v="1"/>
    <n v="65506"/>
    <n v="38713"/>
    <n v="839"/>
    <n v="3.99"/>
    <n v="13482"/>
    <n v="21.56"/>
    <x v="3"/>
    <x v="1"/>
    <n v="8"/>
  </r>
  <r>
    <x v="3"/>
    <x v="1"/>
    <n v="88229"/>
    <n v="8927"/>
    <n v="323"/>
    <n v="1.87"/>
    <n v="17808"/>
    <n v="17.59"/>
    <x v="0"/>
    <x v="2"/>
    <n v="2"/>
  </r>
  <r>
    <x v="1"/>
    <x v="3"/>
    <n v="190887"/>
    <n v="46409"/>
    <n v="170"/>
    <n v="1.24"/>
    <n v="651"/>
    <n v="14.77"/>
    <x v="2"/>
    <x v="1"/>
    <n v="6"/>
  </r>
  <r>
    <x v="1"/>
    <x v="2"/>
    <n v="52092"/>
    <n v="49766"/>
    <n v="340"/>
    <n v="1.52"/>
    <n v="17796"/>
    <n v="5.77"/>
    <x v="0"/>
    <x v="2"/>
    <n v="5"/>
  </r>
  <r>
    <x v="1"/>
    <x v="3"/>
    <n v="72539"/>
    <n v="47154"/>
    <n v="537"/>
    <n v="3.42"/>
    <n v="2821"/>
    <n v="13.92"/>
    <x v="1"/>
    <x v="0"/>
    <n v="3"/>
  </r>
  <r>
    <x v="2"/>
    <x v="0"/>
    <n v="162889"/>
    <n v="8016"/>
    <n v="347"/>
    <n v="4.4000000000000004"/>
    <n v="14365"/>
    <n v="7.37"/>
    <x v="2"/>
    <x v="0"/>
    <n v="5"/>
  </r>
  <r>
    <x v="0"/>
    <x v="1"/>
    <n v="178933"/>
    <n v="15027"/>
    <n v="615"/>
    <n v="1.18"/>
    <n v="995"/>
    <n v="27.45"/>
    <x v="0"/>
    <x v="0"/>
    <n v="5"/>
  </r>
  <r>
    <x v="2"/>
    <x v="3"/>
    <n v="23428"/>
    <n v="49688"/>
    <n v="313"/>
    <n v="3.94"/>
    <n v="12487"/>
    <n v="10.06"/>
    <x v="1"/>
    <x v="2"/>
    <n v="5"/>
  </r>
  <r>
    <x v="0"/>
    <x v="3"/>
    <n v="185006"/>
    <n v="25142"/>
    <n v="512"/>
    <n v="2.37"/>
    <n v="2648"/>
    <n v="28.57"/>
    <x v="0"/>
    <x v="1"/>
    <n v="3"/>
  </r>
  <r>
    <x v="2"/>
    <x v="0"/>
    <n v="151330"/>
    <n v="47520"/>
    <n v="659"/>
    <n v="2.91"/>
    <n v="1056"/>
    <n v="15.99"/>
    <x v="1"/>
    <x v="0"/>
    <n v="3"/>
  </r>
  <r>
    <x v="0"/>
    <x v="4"/>
    <n v="67775"/>
    <n v="24545"/>
    <n v="347"/>
    <n v="4.72"/>
    <n v="13893"/>
    <n v="18.95"/>
    <x v="1"/>
    <x v="0"/>
    <n v="4"/>
  </r>
  <r>
    <x v="2"/>
    <x v="2"/>
    <n v="15469"/>
    <n v="32897"/>
    <n v="559"/>
    <n v="2.33"/>
    <n v="2052"/>
    <n v="16.29"/>
    <x v="2"/>
    <x v="0"/>
    <n v="7"/>
  </r>
  <r>
    <x v="1"/>
    <x v="4"/>
    <n v="38854"/>
    <n v="4167"/>
    <n v="648"/>
    <n v="2.86"/>
    <n v="19004"/>
    <n v="3.88"/>
    <x v="3"/>
    <x v="1"/>
    <n v="2"/>
  </r>
  <r>
    <x v="3"/>
    <x v="1"/>
    <n v="147328"/>
    <n v="45757"/>
    <n v="284"/>
    <n v="1.05"/>
    <n v="3585"/>
    <n v="11.27"/>
    <x v="1"/>
    <x v="1"/>
    <n v="4"/>
  </r>
  <r>
    <x v="2"/>
    <x v="3"/>
    <n v="86256"/>
    <n v="27917"/>
    <n v="173"/>
    <n v="1.33"/>
    <n v="656"/>
    <n v="2.97"/>
    <x v="1"/>
    <x v="2"/>
    <n v="4"/>
  </r>
  <r>
    <x v="0"/>
    <x v="0"/>
    <n v="175009"/>
    <n v="23736"/>
    <n v="452"/>
    <n v="2.0299999999999998"/>
    <n v="9426"/>
    <n v="18.690000000000001"/>
    <x v="2"/>
    <x v="0"/>
    <n v="1"/>
  </r>
  <r>
    <x v="1"/>
    <x v="0"/>
    <n v="109134"/>
    <n v="28990"/>
    <n v="328"/>
    <n v="1.1100000000000001"/>
    <n v="7662"/>
    <n v="13.41"/>
    <x v="3"/>
    <x v="1"/>
    <n v="8"/>
  </r>
  <r>
    <x v="2"/>
    <x v="2"/>
    <n v="142723"/>
    <n v="15087"/>
    <n v="598"/>
    <n v="3.53"/>
    <n v="8555"/>
    <n v="23.34"/>
    <x v="4"/>
    <x v="2"/>
    <n v="1"/>
  </r>
  <r>
    <x v="2"/>
    <x v="4"/>
    <n v="191360"/>
    <n v="23440"/>
    <n v="513"/>
    <n v="2.71"/>
    <n v="5154"/>
    <n v="6.61"/>
    <x v="4"/>
    <x v="0"/>
    <n v="8"/>
  </r>
  <r>
    <x v="1"/>
    <x v="2"/>
    <n v="94730"/>
    <n v="36205"/>
    <n v="695"/>
    <n v="3.19"/>
    <n v="11968"/>
    <n v="4.9400000000000004"/>
    <x v="3"/>
    <x v="1"/>
    <n v="7"/>
  </r>
  <r>
    <x v="2"/>
    <x v="3"/>
    <n v="166123"/>
    <n v="16275"/>
    <n v="396"/>
    <n v="1.7"/>
    <n v="654"/>
    <n v="12.19"/>
    <x v="0"/>
    <x v="1"/>
    <n v="9"/>
  </r>
  <r>
    <x v="3"/>
    <x v="2"/>
    <n v="37386"/>
    <n v="6276"/>
    <n v="979"/>
    <n v="2.1800000000000002"/>
    <n v="8450"/>
    <n v="27.8"/>
    <x v="2"/>
    <x v="2"/>
    <n v="8"/>
  </r>
  <r>
    <x v="2"/>
    <x v="0"/>
    <n v="157256"/>
    <n v="42627"/>
    <n v="879"/>
    <n v="3.66"/>
    <n v="15823"/>
    <n v="21.31"/>
    <x v="3"/>
    <x v="0"/>
    <n v="5"/>
  </r>
  <r>
    <x v="3"/>
    <x v="0"/>
    <n v="43787"/>
    <n v="41586"/>
    <n v="842"/>
    <n v="4.8600000000000003"/>
    <n v="17880"/>
    <n v="12.57"/>
    <x v="4"/>
    <x v="0"/>
    <n v="8"/>
  </r>
  <r>
    <x v="3"/>
    <x v="1"/>
    <n v="31621"/>
    <n v="38496"/>
    <n v="897"/>
    <n v="1.2"/>
    <n v="5126"/>
    <n v="15.52"/>
    <x v="1"/>
    <x v="1"/>
    <n v="3"/>
  </r>
  <r>
    <x v="1"/>
    <x v="1"/>
    <n v="87984"/>
    <n v="20008"/>
    <n v="612"/>
    <n v="4.5599999999999996"/>
    <n v="19789"/>
    <n v="2.5299999999999998"/>
    <x v="4"/>
    <x v="0"/>
    <n v="7"/>
  </r>
  <r>
    <x v="2"/>
    <x v="3"/>
    <n v="186325"/>
    <n v="6738"/>
    <n v="759"/>
    <n v="3.31"/>
    <n v="14759"/>
    <n v="29.54"/>
    <x v="1"/>
    <x v="2"/>
    <n v="4"/>
  </r>
  <r>
    <x v="1"/>
    <x v="4"/>
    <n v="44051"/>
    <n v="33402"/>
    <n v="785"/>
    <n v="3.26"/>
    <n v="15373"/>
    <n v="19.989999999999998"/>
    <x v="2"/>
    <x v="1"/>
    <n v="5"/>
  </r>
  <r>
    <x v="2"/>
    <x v="2"/>
    <n v="59811"/>
    <n v="6793"/>
    <n v="700"/>
    <n v="3"/>
    <n v="13516"/>
    <n v="8.56"/>
    <x v="1"/>
    <x v="1"/>
    <n v="9"/>
  </r>
  <r>
    <x v="2"/>
    <x v="3"/>
    <n v="40447"/>
    <n v="38291"/>
    <n v="503"/>
    <n v="1.28"/>
    <n v="9869"/>
    <n v="17.57"/>
    <x v="3"/>
    <x v="2"/>
    <n v="7"/>
  </r>
  <r>
    <x v="0"/>
    <x v="1"/>
    <n v="138046"/>
    <n v="6571"/>
    <n v="499"/>
    <n v="1.36"/>
    <n v="653"/>
    <n v="3.28"/>
    <x v="1"/>
    <x v="1"/>
    <n v="4"/>
  </r>
  <r>
    <x v="2"/>
    <x v="2"/>
    <n v="171326"/>
    <n v="32331"/>
    <n v="730"/>
    <n v="3.4"/>
    <n v="8353"/>
    <n v="28.98"/>
    <x v="0"/>
    <x v="0"/>
    <n v="6"/>
  </r>
  <r>
    <x v="1"/>
    <x v="1"/>
    <n v="94045"/>
    <n v="17209"/>
    <n v="82"/>
    <n v="2.36"/>
    <n v="12879"/>
    <n v="5.24"/>
    <x v="3"/>
    <x v="0"/>
    <n v="7"/>
  </r>
  <r>
    <x v="3"/>
    <x v="2"/>
    <n v="126859"/>
    <n v="49014"/>
    <n v="518"/>
    <n v="4.67"/>
    <n v="16292"/>
    <n v="19.440000000000001"/>
    <x v="2"/>
    <x v="1"/>
    <n v="9"/>
  </r>
  <r>
    <x v="2"/>
    <x v="4"/>
    <n v="198490"/>
    <n v="26394"/>
    <n v="399"/>
    <n v="2.63"/>
    <n v="6099"/>
    <n v="7.36"/>
    <x v="3"/>
    <x v="2"/>
    <n v="4"/>
  </r>
  <r>
    <x v="0"/>
    <x v="3"/>
    <n v="155544"/>
    <n v="44148"/>
    <n v="628"/>
    <n v="1.57"/>
    <n v="18600"/>
    <n v="21.53"/>
    <x v="0"/>
    <x v="2"/>
    <n v="3"/>
  </r>
  <r>
    <x v="1"/>
    <x v="2"/>
    <n v="13471"/>
    <n v="26682"/>
    <n v="866"/>
    <n v="3.86"/>
    <n v="15285"/>
    <n v="23.3"/>
    <x v="2"/>
    <x v="0"/>
    <n v="8"/>
  </r>
  <r>
    <x v="2"/>
    <x v="0"/>
    <n v="130312"/>
    <n v="3224"/>
    <n v="304"/>
    <n v="2.17"/>
    <n v="11549"/>
    <n v="20.2"/>
    <x v="4"/>
    <x v="2"/>
    <n v="1"/>
  </r>
  <r>
    <x v="1"/>
    <x v="0"/>
    <n v="149401"/>
    <n v="42157"/>
    <n v="378"/>
    <n v="3.1"/>
    <n v="1286"/>
    <n v="18.43"/>
    <x v="0"/>
    <x v="1"/>
    <n v="9"/>
  </r>
  <r>
    <x v="0"/>
    <x v="2"/>
    <n v="175937"/>
    <n v="49695"/>
    <n v="965"/>
    <n v="3.79"/>
    <n v="4868"/>
    <n v="26.77"/>
    <x v="2"/>
    <x v="1"/>
    <n v="1"/>
  </r>
  <r>
    <x v="0"/>
    <x v="2"/>
    <n v="56850"/>
    <n v="45452"/>
    <n v="805"/>
    <n v="4.5999999999999996"/>
    <n v="15423"/>
    <n v="2.36"/>
    <x v="1"/>
    <x v="0"/>
    <n v="2"/>
  </r>
  <r>
    <x v="1"/>
    <x v="2"/>
    <n v="64220"/>
    <n v="44408"/>
    <n v="874"/>
    <n v="4.17"/>
    <n v="4772"/>
    <n v="9.93"/>
    <x v="3"/>
    <x v="0"/>
    <n v="8"/>
  </r>
  <r>
    <x v="2"/>
    <x v="0"/>
    <n v="103808"/>
    <n v="33441"/>
    <n v="703"/>
    <n v="3.71"/>
    <n v="6494"/>
    <n v="7.45"/>
    <x v="2"/>
    <x v="0"/>
    <n v="9"/>
  </r>
  <r>
    <x v="3"/>
    <x v="0"/>
    <n v="147469"/>
    <n v="42430"/>
    <n v="558"/>
    <n v="3.72"/>
    <n v="7511"/>
    <n v="29.64"/>
    <x v="3"/>
    <x v="2"/>
    <n v="7"/>
  </r>
  <r>
    <x v="0"/>
    <x v="2"/>
    <n v="176597"/>
    <n v="40129"/>
    <n v="658"/>
    <n v="4.78"/>
    <n v="14586"/>
    <n v="11.68"/>
    <x v="1"/>
    <x v="1"/>
    <n v="3"/>
  </r>
  <r>
    <x v="2"/>
    <x v="1"/>
    <n v="63072"/>
    <n v="35716"/>
    <n v="859"/>
    <n v="2.1800000000000002"/>
    <n v="9761"/>
    <n v="21.98"/>
    <x v="2"/>
    <x v="1"/>
    <n v="7"/>
  </r>
  <r>
    <x v="2"/>
    <x v="1"/>
    <n v="93820"/>
    <n v="45859"/>
    <n v="577"/>
    <n v="1"/>
    <n v="19233"/>
    <n v="20.54"/>
    <x v="4"/>
    <x v="1"/>
    <n v="6"/>
  </r>
  <r>
    <x v="3"/>
    <x v="4"/>
    <n v="33284"/>
    <n v="27586"/>
    <n v="196"/>
    <n v="2.09"/>
    <n v="7511"/>
    <n v="6.36"/>
    <x v="0"/>
    <x v="0"/>
    <n v="2"/>
  </r>
  <r>
    <x v="0"/>
    <x v="3"/>
    <n v="93369"/>
    <n v="45760"/>
    <n v="862"/>
    <n v="1.87"/>
    <n v="1712"/>
    <n v="7.17"/>
    <x v="2"/>
    <x v="1"/>
    <n v="3"/>
  </r>
  <r>
    <x v="0"/>
    <x v="1"/>
    <n v="35122"/>
    <n v="24478"/>
    <n v="779"/>
    <n v="3.65"/>
    <n v="14641"/>
    <n v="8.44"/>
    <x v="1"/>
    <x v="2"/>
    <n v="5"/>
  </r>
  <r>
    <x v="2"/>
    <x v="0"/>
    <n v="140349"/>
    <n v="7318"/>
    <n v="454"/>
    <n v="3.53"/>
    <n v="9844"/>
    <n v="12.33"/>
    <x v="2"/>
    <x v="2"/>
    <n v="4"/>
  </r>
  <r>
    <x v="2"/>
    <x v="1"/>
    <n v="80553"/>
    <n v="29694"/>
    <n v="579"/>
    <n v="3.37"/>
    <n v="7204"/>
    <n v="7.03"/>
    <x v="3"/>
    <x v="1"/>
    <n v="2"/>
  </r>
  <r>
    <x v="3"/>
    <x v="4"/>
    <n v="104788"/>
    <n v="21180"/>
    <n v="372"/>
    <n v="1.06"/>
    <n v="16396"/>
    <n v="0.59"/>
    <x v="2"/>
    <x v="0"/>
    <n v="4"/>
  </r>
  <r>
    <x v="3"/>
    <x v="4"/>
    <n v="72812"/>
    <n v="13180"/>
    <n v="132"/>
    <n v="3.92"/>
    <n v="19395"/>
    <n v="26.38"/>
    <x v="4"/>
    <x v="1"/>
    <n v="8"/>
  </r>
  <r>
    <x v="0"/>
    <x v="3"/>
    <n v="17999"/>
    <n v="34002"/>
    <n v="197"/>
    <n v="2.29"/>
    <n v="643"/>
    <n v="28.97"/>
    <x v="2"/>
    <x v="2"/>
    <n v="5"/>
  </r>
  <r>
    <x v="1"/>
    <x v="1"/>
    <n v="32436"/>
    <n v="16372"/>
    <n v="751"/>
    <n v="3.66"/>
    <n v="11181"/>
    <n v="10.25"/>
    <x v="0"/>
    <x v="2"/>
    <n v="5"/>
  </r>
  <r>
    <x v="0"/>
    <x v="0"/>
    <n v="52963"/>
    <n v="30796"/>
    <n v="689"/>
    <n v="3.23"/>
    <n v="7867"/>
    <n v="10.16"/>
    <x v="2"/>
    <x v="2"/>
    <n v="3"/>
  </r>
  <r>
    <x v="2"/>
    <x v="0"/>
    <n v="143168"/>
    <n v="25427"/>
    <n v="429"/>
    <n v="2.37"/>
    <n v="3728"/>
    <n v="0.21"/>
    <x v="3"/>
    <x v="1"/>
    <n v="8"/>
  </r>
  <r>
    <x v="0"/>
    <x v="2"/>
    <n v="166351"/>
    <n v="34290"/>
    <n v="635"/>
    <n v="1.54"/>
    <n v="5082"/>
    <n v="20.41"/>
    <x v="2"/>
    <x v="2"/>
    <n v="6"/>
  </r>
  <r>
    <x v="1"/>
    <x v="0"/>
    <n v="118899"/>
    <n v="29099"/>
    <n v="261"/>
    <n v="1.38"/>
    <n v="13647"/>
    <n v="24.76"/>
    <x v="4"/>
    <x v="0"/>
    <n v="2"/>
  </r>
  <r>
    <x v="3"/>
    <x v="3"/>
    <n v="36201"/>
    <n v="46486"/>
    <n v="628"/>
    <n v="4.33"/>
    <n v="11897"/>
    <n v="4.4000000000000004"/>
    <x v="1"/>
    <x v="1"/>
    <n v="2"/>
  </r>
  <r>
    <x v="1"/>
    <x v="3"/>
    <n v="160787"/>
    <n v="10821"/>
    <n v="558"/>
    <n v="4.67"/>
    <n v="6531"/>
    <n v="4.79"/>
    <x v="2"/>
    <x v="1"/>
    <n v="9"/>
  </r>
  <r>
    <x v="1"/>
    <x v="0"/>
    <n v="170381"/>
    <n v="6832"/>
    <n v="344"/>
    <n v="3.6"/>
    <n v="4743"/>
    <n v="23.7"/>
    <x v="2"/>
    <x v="2"/>
    <n v="7"/>
  </r>
  <r>
    <x v="1"/>
    <x v="0"/>
    <n v="156150"/>
    <n v="13820"/>
    <n v="101"/>
    <n v="1.41"/>
    <n v="14147"/>
    <n v="18.489999999999998"/>
    <x v="0"/>
    <x v="2"/>
    <n v="9"/>
  </r>
  <r>
    <x v="3"/>
    <x v="2"/>
    <n v="197686"/>
    <n v="17211"/>
    <n v="539"/>
    <n v="2.61"/>
    <n v="11996"/>
    <n v="1.35"/>
    <x v="4"/>
    <x v="0"/>
    <n v="6"/>
  </r>
  <r>
    <x v="1"/>
    <x v="0"/>
    <n v="15105"/>
    <n v="40890"/>
    <n v="875"/>
    <n v="3.92"/>
    <n v="10049"/>
    <n v="18.68"/>
    <x v="1"/>
    <x v="1"/>
    <n v="5"/>
  </r>
  <r>
    <x v="1"/>
    <x v="2"/>
    <n v="127666"/>
    <n v="6842"/>
    <n v="72"/>
    <n v="4.12"/>
    <n v="15646"/>
    <n v="9.27"/>
    <x v="3"/>
    <x v="2"/>
    <n v="1"/>
  </r>
  <r>
    <x v="1"/>
    <x v="2"/>
    <n v="104848"/>
    <n v="2316"/>
    <n v="671"/>
    <n v="1.47"/>
    <n v="19597"/>
    <n v="11.06"/>
    <x v="2"/>
    <x v="0"/>
    <n v="6"/>
  </r>
  <r>
    <x v="2"/>
    <x v="0"/>
    <n v="12839"/>
    <n v="46968"/>
    <n v="521"/>
    <n v="1"/>
    <n v="4685"/>
    <n v="23.09"/>
    <x v="1"/>
    <x v="2"/>
    <n v="6"/>
  </r>
  <r>
    <x v="1"/>
    <x v="4"/>
    <n v="78920"/>
    <n v="18508"/>
    <n v="148"/>
    <n v="3.85"/>
    <n v="12986"/>
    <n v="24.33"/>
    <x v="3"/>
    <x v="1"/>
    <n v="3"/>
  </r>
  <r>
    <x v="3"/>
    <x v="4"/>
    <n v="53619"/>
    <n v="23005"/>
    <n v="707"/>
    <n v="2.4300000000000002"/>
    <n v="7828"/>
    <n v="12.01"/>
    <x v="4"/>
    <x v="2"/>
    <n v="3"/>
  </r>
  <r>
    <x v="1"/>
    <x v="2"/>
    <n v="52821"/>
    <n v="16206"/>
    <n v="194"/>
    <n v="2.02"/>
    <n v="17184"/>
    <n v="28.41"/>
    <x v="4"/>
    <x v="1"/>
    <n v="3"/>
  </r>
  <r>
    <x v="1"/>
    <x v="0"/>
    <n v="135736"/>
    <n v="19971"/>
    <n v="214"/>
    <n v="1.05"/>
    <n v="17607"/>
    <n v="12.19"/>
    <x v="1"/>
    <x v="2"/>
    <n v="3"/>
  </r>
  <r>
    <x v="3"/>
    <x v="4"/>
    <n v="154565"/>
    <n v="26599"/>
    <n v="781"/>
    <n v="3.16"/>
    <n v="3510"/>
    <n v="23.16"/>
    <x v="3"/>
    <x v="1"/>
    <n v="7"/>
  </r>
  <r>
    <x v="1"/>
    <x v="0"/>
    <n v="27069"/>
    <n v="23056"/>
    <n v="223"/>
    <n v="4.4000000000000004"/>
    <n v="6055"/>
    <n v="14.52"/>
    <x v="4"/>
    <x v="0"/>
    <n v="2"/>
  </r>
  <r>
    <x v="3"/>
    <x v="0"/>
    <n v="17531"/>
    <n v="2378"/>
    <n v="265"/>
    <n v="4.83"/>
    <n v="567"/>
    <n v="26.93"/>
    <x v="1"/>
    <x v="1"/>
    <n v="2"/>
  </r>
  <r>
    <x v="1"/>
    <x v="0"/>
    <n v="178123"/>
    <n v="2519"/>
    <n v="144"/>
    <n v="3.26"/>
    <n v="12685"/>
    <n v="27.23"/>
    <x v="4"/>
    <x v="0"/>
    <n v="3"/>
  </r>
  <r>
    <x v="3"/>
    <x v="1"/>
    <n v="148808"/>
    <n v="23161"/>
    <n v="582"/>
    <n v="3.06"/>
    <n v="19390"/>
    <n v="2.62"/>
    <x v="4"/>
    <x v="1"/>
    <n v="7"/>
  </r>
  <r>
    <x v="1"/>
    <x v="0"/>
    <n v="148782"/>
    <n v="41703"/>
    <n v="884"/>
    <n v="1.34"/>
    <n v="2037"/>
    <n v="28.09"/>
    <x v="4"/>
    <x v="0"/>
    <n v="3"/>
  </r>
  <r>
    <x v="1"/>
    <x v="1"/>
    <n v="77155"/>
    <n v="39861"/>
    <n v="831"/>
    <n v="3.2"/>
    <n v="17281"/>
    <n v="24.77"/>
    <x v="0"/>
    <x v="2"/>
    <n v="7"/>
  </r>
  <r>
    <x v="2"/>
    <x v="2"/>
    <n v="155047"/>
    <n v="6355"/>
    <n v="97"/>
    <n v="2.52"/>
    <n v="12049"/>
    <n v="23.74"/>
    <x v="3"/>
    <x v="1"/>
    <n v="9"/>
  </r>
  <r>
    <x v="2"/>
    <x v="4"/>
    <n v="72424"/>
    <n v="10083"/>
    <n v="845"/>
    <n v="3.43"/>
    <n v="6180"/>
    <n v="6.03"/>
    <x v="1"/>
    <x v="2"/>
    <n v="4"/>
  </r>
  <r>
    <x v="1"/>
    <x v="4"/>
    <n v="55603"/>
    <n v="39342"/>
    <n v="997"/>
    <n v="2.5499999999999998"/>
    <n v="9247"/>
    <n v="24.15"/>
    <x v="1"/>
    <x v="0"/>
    <n v="7"/>
  </r>
  <r>
    <x v="1"/>
    <x v="4"/>
    <n v="164324"/>
    <n v="21456"/>
    <n v="216"/>
    <n v="1.96"/>
    <n v="15616"/>
    <n v="25.5"/>
    <x v="3"/>
    <x v="1"/>
    <n v="9"/>
  </r>
  <r>
    <x v="0"/>
    <x v="4"/>
    <n v="142503"/>
    <n v="14324"/>
    <n v="138"/>
    <n v="1.38"/>
    <n v="3441"/>
    <n v="8.67"/>
    <x v="3"/>
    <x v="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0F4EDB-7446-4514-B985-201F88D74F49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C16:D22" firstHeaderRow="1" firstDataRow="1" firstDataCol="1"/>
  <pivotFields count="11">
    <pivotField showAll="0"/>
    <pivotField showAll="0"/>
    <pivotField dataField="1" numFmtId="164" showAll="0"/>
    <pivotField numFmtId="164" showAll="0"/>
    <pivotField showAll="0"/>
    <pivotField showAll="0"/>
    <pivotField showAll="0"/>
    <pivotField showAll="0"/>
    <pivotField axis="axisRow" showAll="0" sortType="descending">
      <items count="6">
        <item x="1"/>
        <item x="3"/>
        <item x="2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8"/>
  </rowFields>
  <rowItems count="6">
    <i>
      <x v="2"/>
    </i>
    <i>
      <x v="1"/>
    </i>
    <i>
      <x v="4"/>
    </i>
    <i>
      <x v="3"/>
    </i>
    <i>
      <x/>
    </i>
    <i t="grand">
      <x/>
    </i>
  </rowItems>
  <colItems count="1">
    <i/>
  </colItems>
  <dataFields count="1">
    <dataField name="Sum of Revenue" fld="2" baseField="0" baseItem="0" numFmtId="164"/>
  </dataFields>
  <formats count="8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8" type="button" dataOnly="0" labelOnly="1" outline="0" axis="axisRow" fieldPosition="0"/>
    </format>
    <format dxfId="20">
      <pivotArea dataOnly="0" labelOnly="1" fieldPosition="0">
        <references count="1">
          <reference field="8" count="0"/>
        </references>
      </pivotArea>
    </format>
    <format dxfId="19">
      <pivotArea dataOnly="0" labelOnly="1" grandRow="1" outline="0" fieldPosition="0"/>
    </format>
    <format dxfId="18">
      <pivotArea dataOnly="0" labelOnly="1" outline="0" axis="axisValues" fieldPosition="0"/>
    </format>
    <format dxfId="17">
      <pivotArea field="8" type="button" dataOnly="0" labelOnly="1" outline="0" axis="axisRow" fieldPosition="0"/>
    </format>
    <format dxfId="16">
      <pivotArea dataOnly="0" labelOnly="1" outline="0" axis="axisValues" fieldPosition="0"/>
    </format>
  </format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10F229-B47D-4EE0-82AD-404D4824450E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6:G11" firstHeaderRow="1" firstDataRow="1" firstDataCol="1"/>
  <pivotFields count="11"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 v="3"/>
    </i>
    <i>
      <x v="1"/>
    </i>
    <i>
      <x v="2"/>
    </i>
    <i>
      <x/>
    </i>
    <i t="grand">
      <x/>
    </i>
  </rowItems>
  <colItems count="1">
    <i/>
  </colItems>
  <dataFields count="1">
    <dataField name="Sum of Profit" fld="3" baseField="0" baseItem="0" numFmtId="164"/>
  </dataFields>
  <formats count="12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0" type="button" dataOnly="0" labelOnly="1" outline="0" axis="axisRow" fieldPosition="0"/>
    </format>
    <format dxfId="32">
      <pivotArea dataOnly="0" labelOnly="1" fieldPosition="0">
        <references count="1">
          <reference field="0" count="0"/>
        </references>
      </pivotArea>
    </format>
    <format dxfId="31">
      <pivotArea dataOnly="0" labelOnly="1" grandRow="1" outline="0" fieldPosition="0"/>
    </format>
    <format dxfId="30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0" type="button" dataOnly="0" labelOnly="1" outline="0" axis="axisRow" fieldPosition="0"/>
    </format>
    <format dxfId="26">
      <pivotArea dataOnly="0" labelOnly="1" fieldPosition="0">
        <references count="1">
          <reference field="0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1A45D4-1E22-4D39-A617-E5F16422433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C6:D11" firstHeaderRow="1" firstDataRow="1" firstDataCol="1"/>
  <pivotFields count="11"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 v="1"/>
    </i>
    <i>
      <x v="3"/>
    </i>
    <i>
      <x/>
    </i>
    <i>
      <x v="2"/>
    </i>
    <i t="grand">
      <x/>
    </i>
  </rowItems>
  <colItems count="1">
    <i/>
  </colItems>
  <dataFields count="1">
    <dataField name="Sum of Revenue" fld="2" baseField="0" baseItem="0" numFmtId="164"/>
  </dataFields>
  <formats count="12"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0" type="button" dataOnly="0" labelOnly="1" outline="0" axis="axisRow" fieldPosition="0"/>
    </format>
    <format dxfId="44">
      <pivotArea dataOnly="0" labelOnly="1" fieldPosition="0">
        <references count="1">
          <reference field="0" count="0"/>
        </references>
      </pivotArea>
    </format>
    <format dxfId="43">
      <pivotArea dataOnly="0" labelOnly="1" grandRow="1" outline="0" fieldPosition="0"/>
    </format>
    <format dxfId="42">
      <pivotArea dataOnly="0" labelOnly="1" outline="0" axis="axisValues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0" type="button" dataOnly="0" labelOnly="1" outline="0" axis="axisRow" fieldPosition="0"/>
    </format>
    <format dxfId="38">
      <pivotArea dataOnly="0" labelOnly="1" fieldPosition="0">
        <references count="1">
          <reference field="0" count="0"/>
        </references>
      </pivotArea>
    </format>
    <format dxfId="37">
      <pivotArea dataOnly="0" labelOnly="1" grandRow="1" outline="0" fieldPosition="0"/>
    </format>
    <format dxfId="36">
      <pivotArea dataOnly="0" labelOnly="1" outline="0" axis="axisValues" fieldPosition="0"/>
    </format>
  </formats>
  <chartFormats count="6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C83C9A-397B-4D28-BD35-A63FF0324FC6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F27:G32" firstHeaderRow="1" firstDataRow="1" firstDataCol="1"/>
  <pivotFields count="11">
    <pivotField axis="axisRow" showAll="0">
      <items count="5">
        <item x="0"/>
        <item x="2"/>
        <item x="3"/>
        <item x="1"/>
        <item t="default"/>
      </items>
    </pivotField>
    <pivotField showAll="0"/>
    <pivotField numFmtId="164" showAll="0"/>
    <pivotField numFmtId="164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g of Customer_Satisfaction" fld="5" subtotal="average" baseField="0" baseItem="0"/>
  </dataFields>
  <formats count="9">
    <format dxfId="56">
      <pivotArea collapsedLevelsAreSubtotals="1" fieldPosition="0">
        <references count="1">
          <reference field="0" count="1">
            <x v="0"/>
          </reference>
        </references>
      </pivotArea>
    </format>
    <format dxfId="55">
      <pivotArea collapsedLevelsAreSubtotals="1" fieldPosition="0">
        <references count="1">
          <reference field="0" count="3">
            <x v="1"/>
            <x v="2"/>
            <x v="3"/>
          </reference>
        </references>
      </pivotArea>
    </format>
    <format dxfId="54">
      <pivotArea grandRow="1" outline="0" collapsedLevelsAreSubtotals="1" fieldPosition="0"/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0" type="button" dataOnly="0" labelOnly="1" outline="0" axis="axisRow" fieldPosition="0"/>
    </format>
    <format dxfId="50">
      <pivotArea dataOnly="0" labelOnly="1" fieldPosition="0">
        <references count="1">
          <reference field="0" count="0"/>
        </references>
      </pivotArea>
    </format>
    <format dxfId="49">
      <pivotArea dataOnly="0" labelOnly="1" grandRow="1" outline="0" fieldPosition="0"/>
    </format>
    <format dxfId="48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1CFBD7-8847-41E0-8D6B-05F5F6462D31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C27:D31" firstHeaderRow="1" firstDataRow="1" firstDataCol="1"/>
  <pivotFields count="11">
    <pivotField showAll="0"/>
    <pivotField showAll="0"/>
    <pivotField dataField="1" numFmtId="164" showAll="0"/>
    <pivotField numFmtId="164" showAll="0"/>
    <pivotField showAll="0"/>
    <pivotField showAll="0"/>
    <pivotField showAll="0"/>
    <pivotField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9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Revenue" fld="2" baseField="0" baseItem="0" numFmtId="164"/>
  </dataFields>
  <formats count="6"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9" type="button" dataOnly="0" labelOnly="1" outline="0" axis="axisRow" fieldPosition="0"/>
    </format>
    <format dxfId="59">
      <pivotArea dataOnly="0" labelOnly="1" fieldPosition="0">
        <references count="1">
          <reference field="9" count="0"/>
        </references>
      </pivotArea>
    </format>
    <format dxfId="58">
      <pivotArea dataOnly="0" labelOnly="1" grandRow="1" outline="0" fieldPosition="0"/>
    </format>
    <format dxfId="57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2F41AA-EE8A-40AA-B326-4977BE514DFC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F16:G22" firstHeaderRow="1" firstDataRow="1" firstDataCol="1"/>
  <pivotFields count="11">
    <pivotField showAll="0"/>
    <pivotField axis="axisRow" showAll="0" sortType="descending">
      <items count="6">
        <item x="0"/>
        <item x="4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4"/>
    </i>
    <i>
      <x v="1"/>
    </i>
    <i>
      <x v="2"/>
    </i>
    <i>
      <x v="3"/>
    </i>
    <i t="grand">
      <x/>
    </i>
  </rowItems>
  <colItems count="1">
    <i/>
  </colItems>
  <dataFields count="1">
    <dataField name="Sum of Revenue" fld="2" baseField="0" baseItem="0" numFmtId="164"/>
  </dataFields>
  <formats count="6"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1" type="button" dataOnly="0" labelOnly="1" outline="0" axis="axisRow" fieldPosition="0"/>
    </format>
    <format dxfId="65">
      <pivotArea dataOnly="0" labelOnly="1" fieldPosition="0">
        <references count="1">
          <reference field="1" count="0"/>
        </references>
      </pivotArea>
    </format>
    <format dxfId="64">
      <pivotArea dataOnly="0" labelOnly="1" grandRow="1" outline="0" fieldPosition="0"/>
    </format>
    <format dxfId="63">
      <pivotArea dataOnly="0" labelOnly="1" outline="0" axis="axisValues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544113-BB04-4282-80FF-5EA2CB61E302}" name="Table1" displayName="Table1" ref="A1:K1001" totalsRowShown="0" headerRowDxfId="0" dataDxfId="1" headerRowBorderDxfId="14" tableBorderDxfId="15" totalsRowBorderDxfId="13">
  <autoFilter ref="A1:K1001" xr:uid="{94544113-BB04-4282-80FF-5EA2CB61E302}"/>
  <tableColumns count="11">
    <tableColumn id="1" xr3:uid="{C8EC0F0D-CAB2-4AD0-B834-30D9193531CC}" name="Region" dataDxfId="12"/>
    <tableColumn id="2" xr3:uid="{63336831-D4B4-4BDB-860D-F0099E2D69F0}" name="Salesperson" dataDxfId="11"/>
    <tableColumn id="3" xr3:uid="{629C6007-23BD-4E27-81EE-E5847D9EE1D6}" name="Revenue" dataDxfId="10"/>
    <tableColumn id="4" xr3:uid="{2D04283B-FF29-42B5-98B3-220A40829BAD}" name="Profit" dataDxfId="9"/>
    <tableColumn id="5" xr3:uid="{24C1DEDD-52D0-4384-82B7-17CD0C3632A1}" name="Units_Sold" dataDxfId="8"/>
    <tableColumn id="6" xr3:uid="{724E4635-488C-4347-87E5-EF66423DB272}" name="Customer_Satisfaction" dataDxfId="7"/>
    <tableColumn id="7" xr3:uid="{67F4B2FB-4C5C-4DB1-80EF-45678A5D3515}" name="Marketing_Spend" dataDxfId="6"/>
    <tableColumn id="8" xr3:uid="{06C7F5F9-2098-424D-951A-EC2D43830FFC}" name="Discount_Percentage" dataDxfId="5"/>
    <tableColumn id="9" xr3:uid="{D61DB96B-E2BB-46F8-A7C7-48D3F7E4E5D6}" name="Product_Category" dataDxfId="4"/>
    <tableColumn id="10" xr3:uid="{63841299-A11A-44E7-892B-4B16D7C4DB3E}" name="Sales_Channel" dataDxfId="3"/>
    <tableColumn id="11" xr3:uid="{F7AA6DA8-0426-4089-BD37-50298E01FE34}" name="Order_Processing_Tim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C766B-14B2-432F-8A93-456453638A48}">
  <dimension ref="A1:K1001"/>
  <sheetViews>
    <sheetView tabSelected="1" workbookViewId="0">
      <selection activeCell="E23" sqref="E23"/>
    </sheetView>
  </sheetViews>
  <sheetFormatPr defaultRowHeight="15" x14ac:dyDescent="0.25"/>
  <cols>
    <col min="1" max="1" width="9.42578125" customWidth="1"/>
    <col min="2" max="2" width="14.28515625" customWidth="1"/>
    <col min="3" max="3" width="12.140625" bestFit="1" customWidth="1"/>
    <col min="4" max="4" width="10.5703125" bestFit="1" customWidth="1"/>
    <col min="5" max="5" width="12.7109375" customWidth="1"/>
    <col min="6" max="6" width="23.7109375" customWidth="1"/>
    <col min="7" max="7" width="18.5703125" customWidth="1"/>
    <col min="8" max="8" width="22.28515625" customWidth="1"/>
    <col min="9" max="9" width="19.140625" customWidth="1"/>
    <col min="10" max="10" width="16.42578125" customWidth="1"/>
    <col min="11" max="11" width="24.28515625" customWidth="1"/>
  </cols>
  <sheetData>
    <row r="1" spans="1:11" x14ac:dyDescent="0.25">
      <c r="A1" s="27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9" t="s">
        <v>10</v>
      </c>
    </row>
    <row r="2" spans="1:11" x14ac:dyDescent="0.25">
      <c r="A2" s="25" t="s">
        <v>11</v>
      </c>
      <c r="B2" s="1" t="s">
        <v>12</v>
      </c>
      <c r="C2" s="2">
        <v>137118</v>
      </c>
      <c r="D2" s="2">
        <v>10067</v>
      </c>
      <c r="E2" s="1">
        <v>219</v>
      </c>
      <c r="F2" s="1">
        <v>4.0599999999999996</v>
      </c>
      <c r="G2" s="1">
        <v>14666</v>
      </c>
      <c r="H2" s="1">
        <v>13.4</v>
      </c>
      <c r="I2" s="1" t="s">
        <v>13</v>
      </c>
      <c r="J2" s="1" t="s">
        <v>14</v>
      </c>
      <c r="K2" s="26">
        <v>1</v>
      </c>
    </row>
    <row r="3" spans="1:11" x14ac:dyDescent="0.25">
      <c r="A3" s="25" t="s">
        <v>15</v>
      </c>
      <c r="B3" s="1" t="s">
        <v>12</v>
      </c>
      <c r="C3" s="2">
        <v>78577</v>
      </c>
      <c r="D3" s="2">
        <v>38481</v>
      </c>
      <c r="E3" s="1">
        <v>750</v>
      </c>
      <c r="F3" s="1">
        <v>2.64</v>
      </c>
      <c r="G3" s="1">
        <v>8254</v>
      </c>
      <c r="H3" s="1">
        <v>3.7</v>
      </c>
      <c r="I3" s="1" t="s">
        <v>16</v>
      </c>
      <c r="J3" s="1" t="s">
        <v>17</v>
      </c>
      <c r="K3" s="26">
        <v>3</v>
      </c>
    </row>
    <row r="4" spans="1:11" x14ac:dyDescent="0.25">
      <c r="A4" s="25" t="s">
        <v>18</v>
      </c>
      <c r="B4" s="1" t="s">
        <v>12</v>
      </c>
      <c r="C4" s="2">
        <v>19078</v>
      </c>
      <c r="D4" s="2">
        <v>28037</v>
      </c>
      <c r="E4" s="1">
        <v>406</v>
      </c>
      <c r="F4" s="1">
        <v>3.62</v>
      </c>
      <c r="G4" s="1">
        <v>14746</v>
      </c>
      <c r="H4" s="1">
        <v>6.18</v>
      </c>
      <c r="I4" s="1" t="s">
        <v>13</v>
      </c>
      <c r="J4" s="1" t="s">
        <v>14</v>
      </c>
      <c r="K4" s="26">
        <v>3</v>
      </c>
    </row>
    <row r="5" spans="1:11" x14ac:dyDescent="0.25">
      <c r="A5" s="25" t="s">
        <v>11</v>
      </c>
      <c r="B5" s="1" t="s">
        <v>19</v>
      </c>
      <c r="C5" s="2">
        <v>166075</v>
      </c>
      <c r="D5" s="2">
        <v>10557</v>
      </c>
      <c r="E5" s="1">
        <v>109</v>
      </c>
      <c r="F5" s="1">
        <v>2.04</v>
      </c>
      <c r="G5" s="1">
        <v>4578</v>
      </c>
      <c r="H5" s="1">
        <v>0.03</v>
      </c>
      <c r="I5" s="1" t="s">
        <v>13</v>
      </c>
      <c r="J5" s="1" t="s">
        <v>20</v>
      </c>
      <c r="K5" s="26">
        <v>5</v>
      </c>
    </row>
    <row r="6" spans="1:11" x14ac:dyDescent="0.25">
      <c r="A6" s="25" t="s">
        <v>11</v>
      </c>
      <c r="B6" s="1" t="s">
        <v>21</v>
      </c>
      <c r="C6" s="2">
        <v>72768</v>
      </c>
      <c r="D6" s="2">
        <v>10435</v>
      </c>
      <c r="E6" s="1">
        <v>40</v>
      </c>
      <c r="F6" s="1">
        <v>1.64</v>
      </c>
      <c r="G6" s="1">
        <v>13353</v>
      </c>
      <c r="H6" s="1">
        <v>1.18</v>
      </c>
      <c r="I6" s="1" t="s">
        <v>22</v>
      </c>
      <c r="J6" s="1" t="s">
        <v>17</v>
      </c>
      <c r="K6" s="26">
        <v>3</v>
      </c>
    </row>
    <row r="7" spans="1:11" x14ac:dyDescent="0.25">
      <c r="A7" s="25" t="s">
        <v>15</v>
      </c>
      <c r="B7" s="1" t="s">
        <v>19</v>
      </c>
      <c r="C7" s="2">
        <v>61047</v>
      </c>
      <c r="D7" s="2">
        <v>38766</v>
      </c>
      <c r="E7" s="1">
        <v>907</v>
      </c>
      <c r="F7" s="1">
        <v>1.64</v>
      </c>
      <c r="G7" s="1">
        <v>18251</v>
      </c>
      <c r="H7" s="1">
        <v>29.32</v>
      </c>
      <c r="I7" s="1" t="s">
        <v>23</v>
      </c>
      <c r="J7" s="1" t="s">
        <v>20</v>
      </c>
      <c r="K7" s="26">
        <v>9</v>
      </c>
    </row>
    <row r="8" spans="1:11" x14ac:dyDescent="0.25">
      <c r="A8" s="25" t="s">
        <v>18</v>
      </c>
      <c r="B8" s="1" t="s">
        <v>21</v>
      </c>
      <c r="C8" s="2">
        <v>81626</v>
      </c>
      <c r="D8" s="2">
        <v>1162</v>
      </c>
      <c r="E8" s="1">
        <v>537</v>
      </c>
      <c r="F8" s="1">
        <v>1.28</v>
      </c>
      <c r="G8" s="1">
        <v>4542</v>
      </c>
      <c r="H8" s="1">
        <v>7.27</v>
      </c>
      <c r="I8" s="1" t="s">
        <v>22</v>
      </c>
      <c r="J8" s="1" t="s">
        <v>20</v>
      </c>
      <c r="K8" s="26">
        <v>1</v>
      </c>
    </row>
    <row r="9" spans="1:11" x14ac:dyDescent="0.25">
      <c r="A9" s="25" t="s">
        <v>18</v>
      </c>
      <c r="B9" s="1" t="s">
        <v>19</v>
      </c>
      <c r="C9" s="2">
        <v>67660</v>
      </c>
      <c r="D9" s="2">
        <v>35742</v>
      </c>
      <c r="E9" s="1">
        <v>658</v>
      </c>
      <c r="F9" s="1">
        <v>1.74</v>
      </c>
      <c r="G9" s="1">
        <v>16784</v>
      </c>
      <c r="H9" s="1">
        <v>19.899999999999999</v>
      </c>
      <c r="I9" s="1" t="s">
        <v>16</v>
      </c>
      <c r="J9" s="1" t="s">
        <v>17</v>
      </c>
      <c r="K9" s="26">
        <v>4</v>
      </c>
    </row>
    <row r="10" spans="1:11" x14ac:dyDescent="0.25">
      <c r="A10" s="25" t="s">
        <v>11</v>
      </c>
      <c r="B10" s="1" t="s">
        <v>19</v>
      </c>
      <c r="C10" s="2">
        <v>190858</v>
      </c>
      <c r="D10" s="2">
        <v>20675</v>
      </c>
      <c r="E10" s="1">
        <v>338</v>
      </c>
      <c r="F10" s="1">
        <v>3.66</v>
      </c>
      <c r="G10" s="1">
        <v>14889</v>
      </c>
      <c r="H10" s="1">
        <v>25.17</v>
      </c>
      <c r="I10" s="1" t="s">
        <v>13</v>
      </c>
      <c r="J10" s="1" t="s">
        <v>20</v>
      </c>
      <c r="K10" s="26">
        <v>4</v>
      </c>
    </row>
    <row r="11" spans="1:11" x14ac:dyDescent="0.25">
      <c r="A11" s="25" t="s">
        <v>24</v>
      </c>
      <c r="B11" s="1" t="s">
        <v>25</v>
      </c>
      <c r="C11" s="2">
        <v>142997</v>
      </c>
      <c r="D11" s="2">
        <v>9461</v>
      </c>
      <c r="E11" s="1">
        <v>175</v>
      </c>
      <c r="F11" s="1">
        <v>4.53</v>
      </c>
      <c r="G11" s="1">
        <v>3075</v>
      </c>
      <c r="H11" s="1">
        <v>16.52</v>
      </c>
      <c r="I11" s="1" t="s">
        <v>26</v>
      </c>
      <c r="J11" s="1" t="s">
        <v>14</v>
      </c>
      <c r="K11" s="26">
        <v>1</v>
      </c>
    </row>
    <row r="12" spans="1:11" x14ac:dyDescent="0.25">
      <c r="A12" s="25" t="s">
        <v>11</v>
      </c>
      <c r="B12" s="1" t="s">
        <v>19</v>
      </c>
      <c r="C12" s="2">
        <v>127832</v>
      </c>
      <c r="D12" s="2">
        <v>18015</v>
      </c>
      <c r="E12" s="1">
        <v>468</v>
      </c>
      <c r="F12" s="1">
        <v>4.26</v>
      </c>
      <c r="G12" s="1">
        <v>7254</v>
      </c>
      <c r="H12" s="1">
        <v>4.59</v>
      </c>
      <c r="I12" s="1" t="s">
        <v>26</v>
      </c>
      <c r="J12" s="1" t="s">
        <v>17</v>
      </c>
      <c r="K12" s="26">
        <v>2</v>
      </c>
    </row>
    <row r="13" spans="1:11" x14ac:dyDescent="0.25">
      <c r="A13" s="25" t="s">
        <v>11</v>
      </c>
      <c r="B13" s="1" t="s">
        <v>27</v>
      </c>
      <c r="C13" s="2">
        <v>140406</v>
      </c>
      <c r="D13" s="2">
        <v>33591</v>
      </c>
      <c r="E13" s="1">
        <v>831</v>
      </c>
      <c r="F13" s="1">
        <v>3.74</v>
      </c>
      <c r="G13" s="1">
        <v>18465</v>
      </c>
      <c r="H13" s="1">
        <v>21.84</v>
      </c>
      <c r="I13" s="1" t="s">
        <v>13</v>
      </c>
      <c r="J13" s="1" t="s">
        <v>20</v>
      </c>
      <c r="K13" s="26">
        <v>1</v>
      </c>
    </row>
    <row r="14" spans="1:11" x14ac:dyDescent="0.25">
      <c r="A14" s="25" t="s">
        <v>11</v>
      </c>
      <c r="B14" s="1" t="s">
        <v>25</v>
      </c>
      <c r="C14" s="2">
        <v>135150</v>
      </c>
      <c r="D14" s="2">
        <v>29047</v>
      </c>
      <c r="E14" s="1">
        <v>961</v>
      </c>
      <c r="F14" s="1">
        <v>1.44</v>
      </c>
      <c r="G14" s="1">
        <v>2486</v>
      </c>
      <c r="H14" s="1">
        <v>18.010000000000002</v>
      </c>
      <c r="I14" s="1" t="s">
        <v>22</v>
      </c>
      <c r="J14" s="1" t="s">
        <v>14</v>
      </c>
      <c r="K14" s="26">
        <v>6</v>
      </c>
    </row>
    <row r="15" spans="1:11" x14ac:dyDescent="0.25">
      <c r="A15" s="25" t="s">
        <v>11</v>
      </c>
      <c r="B15" s="1" t="s">
        <v>19</v>
      </c>
      <c r="C15" s="2">
        <v>167087</v>
      </c>
      <c r="D15" s="2">
        <v>35782</v>
      </c>
      <c r="E15" s="1">
        <v>991</v>
      </c>
      <c r="F15" s="1">
        <v>2.16</v>
      </c>
      <c r="G15" s="1">
        <v>19124</v>
      </c>
      <c r="H15" s="1">
        <v>21.94</v>
      </c>
      <c r="I15" s="1" t="s">
        <v>23</v>
      </c>
      <c r="J15" s="1" t="s">
        <v>14</v>
      </c>
      <c r="K15" s="26">
        <v>3</v>
      </c>
    </row>
    <row r="16" spans="1:11" x14ac:dyDescent="0.25">
      <c r="A16" s="25" t="s">
        <v>15</v>
      </c>
      <c r="B16" s="1" t="s">
        <v>12</v>
      </c>
      <c r="C16" s="2">
        <v>43320</v>
      </c>
      <c r="D16" s="2">
        <v>10833</v>
      </c>
      <c r="E16" s="1">
        <v>109</v>
      </c>
      <c r="F16" s="1">
        <v>2.2400000000000002</v>
      </c>
      <c r="G16" s="1">
        <v>15970</v>
      </c>
      <c r="H16" s="1">
        <v>23.09</v>
      </c>
      <c r="I16" s="1" t="s">
        <v>22</v>
      </c>
      <c r="J16" s="1" t="s">
        <v>20</v>
      </c>
      <c r="K16" s="26">
        <v>7</v>
      </c>
    </row>
    <row r="17" spans="1:11" x14ac:dyDescent="0.25">
      <c r="A17" s="25" t="s">
        <v>18</v>
      </c>
      <c r="B17" s="1" t="s">
        <v>27</v>
      </c>
      <c r="C17" s="2">
        <v>74881</v>
      </c>
      <c r="D17" s="2">
        <v>8896</v>
      </c>
      <c r="E17" s="1">
        <v>630</v>
      </c>
      <c r="F17" s="1">
        <v>2</v>
      </c>
      <c r="G17" s="1">
        <v>6468</v>
      </c>
      <c r="H17" s="1">
        <v>29.26</v>
      </c>
      <c r="I17" s="1" t="s">
        <v>13</v>
      </c>
      <c r="J17" s="1" t="s">
        <v>14</v>
      </c>
      <c r="K17" s="26">
        <v>5</v>
      </c>
    </row>
    <row r="18" spans="1:11" x14ac:dyDescent="0.25">
      <c r="A18" s="25" t="s">
        <v>15</v>
      </c>
      <c r="B18" s="1" t="s">
        <v>27</v>
      </c>
      <c r="C18" s="2">
        <v>100827</v>
      </c>
      <c r="D18" s="2">
        <v>33972</v>
      </c>
      <c r="E18" s="1">
        <v>864</v>
      </c>
      <c r="F18" s="1">
        <v>3.06</v>
      </c>
      <c r="G18" s="1">
        <v>7993</v>
      </c>
      <c r="H18" s="1">
        <v>17.21</v>
      </c>
      <c r="I18" s="1" t="s">
        <v>13</v>
      </c>
      <c r="J18" s="1" t="s">
        <v>17</v>
      </c>
      <c r="K18" s="26">
        <v>9</v>
      </c>
    </row>
    <row r="19" spans="1:11" x14ac:dyDescent="0.25">
      <c r="A19" s="25" t="s">
        <v>15</v>
      </c>
      <c r="B19" s="1" t="s">
        <v>27</v>
      </c>
      <c r="C19" s="2">
        <v>112215</v>
      </c>
      <c r="D19" s="2">
        <v>42800</v>
      </c>
      <c r="E19" s="1">
        <v>182</v>
      </c>
      <c r="F19" s="1">
        <v>3.14</v>
      </c>
      <c r="G19" s="1">
        <v>4603</v>
      </c>
      <c r="H19" s="1">
        <v>10.25</v>
      </c>
      <c r="I19" s="1" t="s">
        <v>23</v>
      </c>
      <c r="J19" s="1" t="s">
        <v>20</v>
      </c>
      <c r="K19" s="26">
        <v>7</v>
      </c>
    </row>
    <row r="20" spans="1:11" x14ac:dyDescent="0.25">
      <c r="A20" s="25" t="s">
        <v>15</v>
      </c>
      <c r="B20" s="1" t="s">
        <v>25</v>
      </c>
      <c r="C20" s="2">
        <v>167361</v>
      </c>
      <c r="D20" s="2">
        <v>31508</v>
      </c>
      <c r="E20" s="1">
        <v>758</v>
      </c>
      <c r="F20" s="1">
        <v>2.4300000000000002</v>
      </c>
      <c r="G20" s="1">
        <v>2576</v>
      </c>
      <c r="H20" s="1">
        <v>19.45</v>
      </c>
      <c r="I20" s="1" t="s">
        <v>16</v>
      </c>
      <c r="J20" s="1" t="s">
        <v>14</v>
      </c>
      <c r="K20" s="26">
        <v>4</v>
      </c>
    </row>
    <row r="21" spans="1:11" x14ac:dyDescent="0.25">
      <c r="A21" s="25" t="s">
        <v>11</v>
      </c>
      <c r="B21" s="1" t="s">
        <v>19</v>
      </c>
      <c r="C21" s="2">
        <v>144461</v>
      </c>
      <c r="D21" s="2">
        <v>6347</v>
      </c>
      <c r="E21" s="1">
        <v>171</v>
      </c>
      <c r="F21" s="1">
        <v>2.42</v>
      </c>
      <c r="G21" s="1">
        <v>3494</v>
      </c>
      <c r="H21" s="1">
        <v>2.0499999999999998</v>
      </c>
      <c r="I21" s="1" t="s">
        <v>16</v>
      </c>
      <c r="J21" s="1" t="s">
        <v>14</v>
      </c>
      <c r="K21" s="26">
        <v>5</v>
      </c>
    </row>
    <row r="22" spans="1:11" x14ac:dyDescent="0.25">
      <c r="A22" s="25" t="s">
        <v>24</v>
      </c>
      <c r="B22" s="1" t="s">
        <v>19</v>
      </c>
      <c r="C22" s="2">
        <v>166755</v>
      </c>
      <c r="D22" s="2">
        <v>31314</v>
      </c>
      <c r="E22" s="1">
        <v>914</v>
      </c>
      <c r="F22" s="1">
        <v>4.3099999999999996</v>
      </c>
      <c r="G22" s="1">
        <v>4244</v>
      </c>
      <c r="H22" s="1">
        <v>26.92</v>
      </c>
      <c r="I22" s="1" t="s">
        <v>23</v>
      </c>
      <c r="J22" s="1" t="s">
        <v>20</v>
      </c>
      <c r="K22" s="26">
        <v>5</v>
      </c>
    </row>
    <row r="23" spans="1:11" x14ac:dyDescent="0.25">
      <c r="A23" s="25" t="s">
        <v>18</v>
      </c>
      <c r="B23" s="1" t="s">
        <v>12</v>
      </c>
      <c r="C23" s="2">
        <v>154701</v>
      </c>
      <c r="D23" s="2">
        <v>3643</v>
      </c>
      <c r="E23" s="1">
        <v>737</v>
      </c>
      <c r="F23" s="1">
        <v>4.16</v>
      </c>
      <c r="G23" s="1">
        <v>14966</v>
      </c>
      <c r="H23" s="1">
        <v>3.58</v>
      </c>
      <c r="I23" s="1" t="s">
        <v>16</v>
      </c>
      <c r="J23" s="1" t="s">
        <v>20</v>
      </c>
      <c r="K23" s="26">
        <v>5</v>
      </c>
    </row>
    <row r="24" spans="1:11" x14ac:dyDescent="0.25">
      <c r="A24" s="25" t="s">
        <v>24</v>
      </c>
      <c r="B24" s="1" t="s">
        <v>12</v>
      </c>
      <c r="C24" s="2">
        <v>71550</v>
      </c>
      <c r="D24" s="2">
        <v>41785</v>
      </c>
      <c r="E24" s="1">
        <v>785</v>
      </c>
      <c r="F24" s="1">
        <v>2.23</v>
      </c>
      <c r="G24" s="1">
        <v>15023</v>
      </c>
      <c r="H24" s="1">
        <v>9.84</v>
      </c>
      <c r="I24" s="1" t="s">
        <v>26</v>
      </c>
      <c r="J24" s="1" t="s">
        <v>20</v>
      </c>
      <c r="K24" s="26">
        <v>9</v>
      </c>
    </row>
    <row r="25" spans="1:11" x14ac:dyDescent="0.25">
      <c r="A25" s="25" t="s">
        <v>15</v>
      </c>
      <c r="B25" s="1" t="s">
        <v>27</v>
      </c>
      <c r="C25" s="2">
        <v>34826</v>
      </c>
      <c r="D25" s="2">
        <v>19681</v>
      </c>
      <c r="E25" s="1">
        <v>272</v>
      </c>
      <c r="F25" s="1">
        <v>4.66</v>
      </c>
      <c r="G25" s="1">
        <v>6094</v>
      </c>
      <c r="H25" s="1">
        <v>24.47</v>
      </c>
      <c r="I25" s="1" t="s">
        <v>16</v>
      </c>
      <c r="J25" s="1" t="s">
        <v>20</v>
      </c>
      <c r="K25" s="26">
        <v>3</v>
      </c>
    </row>
    <row r="26" spans="1:11" x14ac:dyDescent="0.25">
      <c r="A26" s="25" t="s">
        <v>15</v>
      </c>
      <c r="B26" s="1" t="s">
        <v>12</v>
      </c>
      <c r="C26" s="2">
        <v>110734</v>
      </c>
      <c r="D26" s="2">
        <v>39328</v>
      </c>
      <c r="E26" s="1">
        <v>813</v>
      </c>
      <c r="F26" s="1">
        <v>4.8099999999999996</v>
      </c>
      <c r="G26" s="1">
        <v>8031</v>
      </c>
      <c r="H26" s="1">
        <v>17.920000000000002</v>
      </c>
      <c r="I26" s="1" t="s">
        <v>16</v>
      </c>
      <c r="J26" s="1" t="s">
        <v>17</v>
      </c>
      <c r="K26" s="26">
        <v>6</v>
      </c>
    </row>
    <row r="27" spans="1:11" x14ac:dyDescent="0.25">
      <c r="A27" s="25" t="s">
        <v>24</v>
      </c>
      <c r="B27" s="1" t="s">
        <v>25</v>
      </c>
      <c r="C27" s="2">
        <v>167702</v>
      </c>
      <c r="D27" s="2">
        <v>16892</v>
      </c>
      <c r="E27" s="1">
        <v>283</v>
      </c>
      <c r="F27" s="1">
        <v>2.31</v>
      </c>
      <c r="G27" s="1">
        <v>7871</v>
      </c>
      <c r="H27" s="1">
        <v>11.81</v>
      </c>
      <c r="I27" s="1" t="s">
        <v>16</v>
      </c>
      <c r="J27" s="1" t="s">
        <v>20</v>
      </c>
      <c r="K27" s="26">
        <v>8</v>
      </c>
    </row>
    <row r="28" spans="1:11" x14ac:dyDescent="0.25">
      <c r="A28" s="25" t="s">
        <v>24</v>
      </c>
      <c r="B28" s="1" t="s">
        <v>19</v>
      </c>
      <c r="C28" s="2">
        <v>187235</v>
      </c>
      <c r="D28" s="2">
        <v>48299</v>
      </c>
      <c r="E28" s="1">
        <v>12</v>
      </c>
      <c r="F28" s="1">
        <v>2.42</v>
      </c>
      <c r="G28" s="1">
        <v>15047</v>
      </c>
      <c r="H28" s="1">
        <v>14.2</v>
      </c>
      <c r="I28" s="1" t="s">
        <v>26</v>
      </c>
      <c r="J28" s="1" t="s">
        <v>17</v>
      </c>
      <c r="K28" s="26">
        <v>9</v>
      </c>
    </row>
    <row r="29" spans="1:11" x14ac:dyDescent="0.25">
      <c r="A29" s="25" t="s">
        <v>24</v>
      </c>
      <c r="B29" s="1" t="s">
        <v>27</v>
      </c>
      <c r="C29" s="2">
        <v>108511</v>
      </c>
      <c r="D29" s="2">
        <v>18073</v>
      </c>
      <c r="E29" s="1">
        <v>37</v>
      </c>
      <c r="F29" s="1">
        <v>3.02</v>
      </c>
      <c r="G29" s="1">
        <v>18528</v>
      </c>
      <c r="H29" s="1">
        <v>25.64</v>
      </c>
      <c r="I29" s="1" t="s">
        <v>16</v>
      </c>
      <c r="J29" s="1" t="s">
        <v>17</v>
      </c>
      <c r="K29" s="26">
        <v>7</v>
      </c>
    </row>
    <row r="30" spans="1:11" x14ac:dyDescent="0.25">
      <c r="A30" s="25" t="s">
        <v>15</v>
      </c>
      <c r="B30" s="1" t="s">
        <v>12</v>
      </c>
      <c r="C30" s="2">
        <v>21653</v>
      </c>
      <c r="D30" s="2">
        <v>37768</v>
      </c>
      <c r="E30" s="1">
        <v>335</v>
      </c>
      <c r="F30" s="1">
        <v>4.76</v>
      </c>
      <c r="G30" s="1">
        <v>3644</v>
      </c>
      <c r="H30" s="1">
        <v>10.199999999999999</v>
      </c>
      <c r="I30" s="1" t="s">
        <v>26</v>
      </c>
      <c r="J30" s="1" t="s">
        <v>20</v>
      </c>
      <c r="K30" s="26">
        <v>3</v>
      </c>
    </row>
    <row r="31" spans="1:11" x14ac:dyDescent="0.25">
      <c r="A31" s="25" t="s">
        <v>15</v>
      </c>
      <c r="B31" s="1" t="s">
        <v>25</v>
      </c>
      <c r="C31" s="2">
        <v>169033</v>
      </c>
      <c r="D31" s="2">
        <v>31682</v>
      </c>
      <c r="E31" s="1">
        <v>949</v>
      </c>
      <c r="F31" s="1">
        <v>4.51</v>
      </c>
      <c r="G31" s="1">
        <v>14490</v>
      </c>
      <c r="H31" s="1">
        <v>26.09</v>
      </c>
      <c r="I31" s="1" t="s">
        <v>23</v>
      </c>
      <c r="J31" s="1" t="s">
        <v>17</v>
      </c>
      <c r="K31" s="26">
        <v>1</v>
      </c>
    </row>
    <row r="32" spans="1:11" x14ac:dyDescent="0.25">
      <c r="A32" s="25" t="s">
        <v>18</v>
      </c>
      <c r="B32" s="1" t="s">
        <v>25</v>
      </c>
      <c r="C32" s="2">
        <v>91941</v>
      </c>
      <c r="D32" s="2">
        <v>33262</v>
      </c>
      <c r="E32" s="1">
        <v>158</v>
      </c>
      <c r="F32" s="1">
        <v>1.41</v>
      </c>
      <c r="G32" s="1">
        <v>14583</v>
      </c>
      <c r="H32" s="1">
        <v>2.64</v>
      </c>
      <c r="I32" s="1" t="s">
        <v>22</v>
      </c>
      <c r="J32" s="1" t="s">
        <v>20</v>
      </c>
      <c r="K32" s="26">
        <v>4</v>
      </c>
    </row>
    <row r="33" spans="1:11" x14ac:dyDescent="0.25">
      <c r="A33" s="25" t="s">
        <v>18</v>
      </c>
      <c r="B33" s="1" t="s">
        <v>12</v>
      </c>
      <c r="C33" s="2">
        <v>43662</v>
      </c>
      <c r="D33" s="2">
        <v>32358</v>
      </c>
      <c r="E33" s="1">
        <v>549</v>
      </c>
      <c r="F33" s="1">
        <v>2.57</v>
      </c>
      <c r="G33" s="1">
        <v>17126</v>
      </c>
      <c r="H33" s="1">
        <v>23.3</v>
      </c>
      <c r="I33" s="1" t="s">
        <v>23</v>
      </c>
      <c r="J33" s="1" t="s">
        <v>20</v>
      </c>
      <c r="K33" s="26">
        <v>6</v>
      </c>
    </row>
    <row r="34" spans="1:11" x14ac:dyDescent="0.25">
      <c r="A34" s="25" t="s">
        <v>15</v>
      </c>
      <c r="B34" s="1" t="s">
        <v>19</v>
      </c>
      <c r="C34" s="2">
        <v>108818</v>
      </c>
      <c r="D34" s="2">
        <v>15289</v>
      </c>
      <c r="E34" s="1">
        <v>497</v>
      </c>
      <c r="F34" s="1">
        <v>3.21</v>
      </c>
      <c r="G34" s="1">
        <v>8454</v>
      </c>
      <c r="H34" s="1">
        <v>25.43</v>
      </c>
      <c r="I34" s="1" t="s">
        <v>22</v>
      </c>
      <c r="J34" s="1" t="s">
        <v>14</v>
      </c>
      <c r="K34" s="26">
        <v>3</v>
      </c>
    </row>
    <row r="35" spans="1:11" x14ac:dyDescent="0.25">
      <c r="A35" s="25" t="s">
        <v>24</v>
      </c>
      <c r="B35" s="1" t="s">
        <v>12</v>
      </c>
      <c r="C35" s="2">
        <v>197518</v>
      </c>
      <c r="D35" s="2">
        <v>8927</v>
      </c>
      <c r="E35" s="1">
        <v>831</v>
      </c>
      <c r="F35" s="1">
        <v>3.01</v>
      </c>
      <c r="G35" s="1">
        <v>7769</v>
      </c>
      <c r="H35" s="1">
        <v>5.45</v>
      </c>
      <c r="I35" s="1" t="s">
        <v>23</v>
      </c>
      <c r="J35" s="1" t="s">
        <v>20</v>
      </c>
      <c r="K35" s="26">
        <v>1</v>
      </c>
    </row>
    <row r="36" spans="1:11" x14ac:dyDescent="0.25">
      <c r="A36" s="25" t="s">
        <v>24</v>
      </c>
      <c r="B36" s="1" t="s">
        <v>27</v>
      </c>
      <c r="C36" s="2">
        <v>162360</v>
      </c>
      <c r="D36" s="2">
        <v>49330</v>
      </c>
      <c r="E36" s="1">
        <v>447</v>
      </c>
      <c r="F36" s="1">
        <v>1.78</v>
      </c>
      <c r="G36" s="1">
        <v>7630</v>
      </c>
      <c r="H36" s="1">
        <v>12.91</v>
      </c>
      <c r="I36" s="1" t="s">
        <v>22</v>
      </c>
      <c r="J36" s="1" t="s">
        <v>14</v>
      </c>
      <c r="K36" s="26">
        <v>6</v>
      </c>
    </row>
    <row r="37" spans="1:11" x14ac:dyDescent="0.25">
      <c r="A37" s="25" t="s">
        <v>18</v>
      </c>
      <c r="B37" s="1" t="s">
        <v>12</v>
      </c>
      <c r="C37" s="2">
        <v>105081</v>
      </c>
      <c r="D37" s="2">
        <v>2171</v>
      </c>
      <c r="E37" s="1">
        <v>74</v>
      </c>
      <c r="F37" s="1">
        <v>4.4400000000000004</v>
      </c>
      <c r="G37" s="1">
        <v>7328</v>
      </c>
      <c r="H37" s="1">
        <v>4.96</v>
      </c>
      <c r="I37" s="1" t="s">
        <v>22</v>
      </c>
      <c r="J37" s="1" t="s">
        <v>17</v>
      </c>
      <c r="K37" s="26">
        <v>1</v>
      </c>
    </row>
    <row r="38" spans="1:11" x14ac:dyDescent="0.25">
      <c r="A38" s="25" t="s">
        <v>15</v>
      </c>
      <c r="B38" s="1" t="s">
        <v>25</v>
      </c>
      <c r="C38" s="2">
        <v>46877</v>
      </c>
      <c r="D38" s="2">
        <v>12918</v>
      </c>
      <c r="E38" s="1">
        <v>365</v>
      </c>
      <c r="F38" s="1">
        <v>3.71</v>
      </c>
      <c r="G38" s="1">
        <v>9344</v>
      </c>
      <c r="H38" s="1">
        <v>21.2</v>
      </c>
      <c r="I38" s="1" t="s">
        <v>13</v>
      </c>
      <c r="J38" s="1" t="s">
        <v>14</v>
      </c>
      <c r="K38" s="26">
        <v>9</v>
      </c>
    </row>
    <row r="39" spans="1:11" x14ac:dyDescent="0.25">
      <c r="A39" s="25" t="s">
        <v>18</v>
      </c>
      <c r="B39" s="1" t="s">
        <v>12</v>
      </c>
      <c r="C39" s="2">
        <v>121562</v>
      </c>
      <c r="D39" s="2">
        <v>42903</v>
      </c>
      <c r="E39" s="1">
        <v>542</v>
      </c>
      <c r="F39" s="1">
        <v>4.3499999999999996</v>
      </c>
      <c r="G39" s="1">
        <v>14720</v>
      </c>
      <c r="H39" s="1">
        <v>16.059999999999999</v>
      </c>
      <c r="I39" s="1" t="s">
        <v>22</v>
      </c>
      <c r="J39" s="1" t="s">
        <v>17</v>
      </c>
      <c r="K39" s="26">
        <v>1</v>
      </c>
    </row>
    <row r="40" spans="1:11" x14ac:dyDescent="0.25">
      <c r="A40" s="25" t="s">
        <v>18</v>
      </c>
      <c r="B40" s="1" t="s">
        <v>19</v>
      </c>
      <c r="C40" s="2">
        <v>156385</v>
      </c>
      <c r="D40" s="2">
        <v>40110</v>
      </c>
      <c r="E40" s="1">
        <v>261</v>
      </c>
      <c r="F40" s="1">
        <v>4.4400000000000004</v>
      </c>
      <c r="G40" s="1">
        <v>6831</v>
      </c>
      <c r="H40" s="1">
        <v>19.059999999999999</v>
      </c>
      <c r="I40" s="1" t="s">
        <v>22</v>
      </c>
      <c r="J40" s="1" t="s">
        <v>20</v>
      </c>
      <c r="K40" s="26">
        <v>6</v>
      </c>
    </row>
    <row r="41" spans="1:11" x14ac:dyDescent="0.25">
      <c r="A41" s="25" t="s">
        <v>11</v>
      </c>
      <c r="B41" s="1" t="s">
        <v>21</v>
      </c>
      <c r="C41" s="2">
        <v>82715</v>
      </c>
      <c r="D41" s="2">
        <v>12929</v>
      </c>
      <c r="E41" s="1">
        <v>244</v>
      </c>
      <c r="F41" s="1">
        <v>3.99</v>
      </c>
      <c r="G41" s="1">
        <v>13897</v>
      </c>
      <c r="H41" s="1">
        <v>5.89</v>
      </c>
      <c r="I41" s="1" t="s">
        <v>13</v>
      </c>
      <c r="J41" s="1" t="s">
        <v>17</v>
      </c>
      <c r="K41" s="26">
        <v>1</v>
      </c>
    </row>
    <row r="42" spans="1:11" x14ac:dyDescent="0.25">
      <c r="A42" s="25" t="s">
        <v>11</v>
      </c>
      <c r="B42" s="1" t="s">
        <v>12</v>
      </c>
      <c r="C42" s="2">
        <v>151398</v>
      </c>
      <c r="D42" s="2">
        <v>3539</v>
      </c>
      <c r="E42" s="1">
        <v>236</v>
      </c>
      <c r="F42" s="1">
        <v>2.76</v>
      </c>
      <c r="G42" s="1">
        <v>18383</v>
      </c>
      <c r="H42" s="1">
        <v>6.35</v>
      </c>
      <c r="I42" s="1" t="s">
        <v>16</v>
      </c>
      <c r="J42" s="1" t="s">
        <v>17</v>
      </c>
      <c r="K42" s="26">
        <v>7</v>
      </c>
    </row>
    <row r="43" spans="1:11" x14ac:dyDescent="0.25">
      <c r="A43" s="25" t="s">
        <v>11</v>
      </c>
      <c r="B43" s="1" t="s">
        <v>19</v>
      </c>
      <c r="C43" s="2">
        <v>120091</v>
      </c>
      <c r="D43" s="2">
        <v>37727</v>
      </c>
      <c r="E43" s="1">
        <v>534</v>
      </c>
      <c r="F43" s="1">
        <v>3.44</v>
      </c>
      <c r="G43" s="1">
        <v>10791</v>
      </c>
      <c r="H43" s="1">
        <v>1.24</v>
      </c>
      <c r="I43" s="1" t="s">
        <v>16</v>
      </c>
      <c r="J43" s="1" t="s">
        <v>20</v>
      </c>
      <c r="K43" s="26">
        <v>3</v>
      </c>
    </row>
    <row r="44" spans="1:11" x14ac:dyDescent="0.25">
      <c r="A44" s="25" t="s">
        <v>24</v>
      </c>
      <c r="B44" s="1" t="s">
        <v>19</v>
      </c>
      <c r="C44" s="2">
        <v>142632</v>
      </c>
      <c r="D44" s="2">
        <v>46951</v>
      </c>
      <c r="E44" s="1">
        <v>322</v>
      </c>
      <c r="F44" s="1">
        <v>1.64</v>
      </c>
      <c r="G44" s="1">
        <v>19042</v>
      </c>
      <c r="H44" s="1">
        <v>9.66</v>
      </c>
      <c r="I44" s="1" t="s">
        <v>13</v>
      </c>
      <c r="J44" s="1" t="s">
        <v>17</v>
      </c>
      <c r="K44" s="26">
        <v>6</v>
      </c>
    </row>
    <row r="45" spans="1:11" x14ac:dyDescent="0.25">
      <c r="A45" s="25" t="s">
        <v>15</v>
      </c>
      <c r="B45" s="1" t="s">
        <v>25</v>
      </c>
      <c r="C45" s="2">
        <v>89148</v>
      </c>
      <c r="D45" s="2">
        <v>23669</v>
      </c>
      <c r="E45" s="1">
        <v>58</v>
      </c>
      <c r="F45" s="1">
        <v>3.69</v>
      </c>
      <c r="G45" s="1">
        <v>10664</v>
      </c>
      <c r="H45" s="1">
        <v>16.79</v>
      </c>
      <c r="I45" s="1" t="s">
        <v>26</v>
      </c>
      <c r="J45" s="1" t="s">
        <v>20</v>
      </c>
      <c r="K45" s="26">
        <v>7</v>
      </c>
    </row>
    <row r="46" spans="1:11" x14ac:dyDescent="0.25">
      <c r="A46" s="25" t="s">
        <v>15</v>
      </c>
      <c r="B46" s="1" t="s">
        <v>19</v>
      </c>
      <c r="C46" s="2">
        <v>93186</v>
      </c>
      <c r="D46" s="2">
        <v>6432</v>
      </c>
      <c r="E46" s="1">
        <v>127</v>
      </c>
      <c r="F46" s="1">
        <v>1.72</v>
      </c>
      <c r="G46" s="1">
        <v>10950</v>
      </c>
      <c r="H46" s="1">
        <v>25.74</v>
      </c>
      <c r="I46" s="1" t="s">
        <v>22</v>
      </c>
      <c r="J46" s="1" t="s">
        <v>14</v>
      </c>
      <c r="K46" s="26">
        <v>1</v>
      </c>
    </row>
    <row r="47" spans="1:11" x14ac:dyDescent="0.25">
      <c r="A47" s="25" t="s">
        <v>15</v>
      </c>
      <c r="B47" s="1" t="s">
        <v>19</v>
      </c>
      <c r="C47" s="2">
        <v>167817</v>
      </c>
      <c r="D47" s="2">
        <v>21644</v>
      </c>
      <c r="E47" s="1">
        <v>63</v>
      </c>
      <c r="F47" s="1">
        <v>3.78</v>
      </c>
      <c r="G47" s="1">
        <v>2535</v>
      </c>
      <c r="H47" s="1">
        <v>20.010000000000002</v>
      </c>
      <c r="I47" s="1" t="s">
        <v>22</v>
      </c>
      <c r="J47" s="1" t="s">
        <v>20</v>
      </c>
      <c r="K47" s="26">
        <v>1</v>
      </c>
    </row>
    <row r="48" spans="1:11" x14ac:dyDescent="0.25">
      <c r="A48" s="25" t="s">
        <v>15</v>
      </c>
      <c r="B48" s="1" t="s">
        <v>19</v>
      </c>
      <c r="C48" s="2">
        <v>172962</v>
      </c>
      <c r="D48" s="2">
        <v>19745</v>
      </c>
      <c r="E48" s="1">
        <v>659</v>
      </c>
      <c r="F48" s="1">
        <v>1.92</v>
      </c>
      <c r="G48" s="1">
        <v>11963</v>
      </c>
      <c r="H48" s="1">
        <v>13.06</v>
      </c>
      <c r="I48" s="1" t="s">
        <v>13</v>
      </c>
      <c r="J48" s="1" t="s">
        <v>20</v>
      </c>
      <c r="K48" s="26">
        <v>5</v>
      </c>
    </row>
    <row r="49" spans="1:11" x14ac:dyDescent="0.25">
      <c r="A49" s="25" t="s">
        <v>11</v>
      </c>
      <c r="B49" s="1" t="s">
        <v>19</v>
      </c>
      <c r="C49" s="2">
        <v>161094</v>
      </c>
      <c r="D49" s="2">
        <v>29228</v>
      </c>
      <c r="E49" s="1">
        <v>574</v>
      </c>
      <c r="F49" s="1">
        <v>1.47</v>
      </c>
      <c r="G49" s="1">
        <v>8477</v>
      </c>
      <c r="H49" s="1">
        <v>28.59</v>
      </c>
      <c r="I49" s="1" t="s">
        <v>13</v>
      </c>
      <c r="J49" s="1" t="s">
        <v>17</v>
      </c>
      <c r="K49" s="26">
        <v>6</v>
      </c>
    </row>
    <row r="50" spans="1:11" x14ac:dyDescent="0.25">
      <c r="A50" s="25" t="s">
        <v>24</v>
      </c>
      <c r="B50" s="1" t="s">
        <v>27</v>
      </c>
      <c r="C50" s="2">
        <v>133629</v>
      </c>
      <c r="D50" s="2">
        <v>35521</v>
      </c>
      <c r="E50" s="1">
        <v>53</v>
      </c>
      <c r="F50" s="1">
        <v>1.66</v>
      </c>
      <c r="G50" s="1">
        <v>17741</v>
      </c>
      <c r="H50" s="1">
        <v>21.58</v>
      </c>
      <c r="I50" s="1" t="s">
        <v>26</v>
      </c>
      <c r="J50" s="1" t="s">
        <v>14</v>
      </c>
      <c r="K50" s="26">
        <v>9</v>
      </c>
    </row>
    <row r="51" spans="1:11" x14ac:dyDescent="0.25">
      <c r="A51" s="25" t="s">
        <v>24</v>
      </c>
      <c r="B51" s="1" t="s">
        <v>27</v>
      </c>
      <c r="C51" s="2">
        <v>193651</v>
      </c>
      <c r="D51" s="2">
        <v>32703</v>
      </c>
      <c r="E51" s="1">
        <v>824</v>
      </c>
      <c r="F51" s="1">
        <v>1.01</v>
      </c>
      <c r="G51" s="1">
        <v>12682</v>
      </c>
      <c r="H51" s="1">
        <v>27.9</v>
      </c>
      <c r="I51" s="1" t="s">
        <v>16</v>
      </c>
      <c r="J51" s="1" t="s">
        <v>20</v>
      </c>
      <c r="K51" s="26">
        <v>1</v>
      </c>
    </row>
    <row r="52" spans="1:11" x14ac:dyDescent="0.25">
      <c r="A52" s="25" t="s">
        <v>11</v>
      </c>
      <c r="B52" s="1" t="s">
        <v>25</v>
      </c>
      <c r="C52" s="2">
        <v>80316</v>
      </c>
      <c r="D52" s="2">
        <v>27928</v>
      </c>
      <c r="E52" s="1">
        <v>62</v>
      </c>
      <c r="F52" s="1">
        <v>3.87</v>
      </c>
      <c r="G52" s="1">
        <v>798</v>
      </c>
      <c r="H52" s="1">
        <v>15.83</v>
      </c>
      <c r="I52" s="1" t="s">
        <v>23</v>
      </c>
      <c r="J52" s="1" t="s">
        <v>14</v>
      </c>
      <c r="K52" s="26">
        <v>4</v>
      </c>
    </row>
    <row r="53" spans="1:11" x14ac:dyDescent="0.25">
      <c r="A53" s="25" t="s">
        <v>24</v>
      </c>
      <c r="B53" s="1" t="s">
        <v>12</v>
      </c>
      <c r="C53" s="2">
        <v>38380</v>
      </c>
      <c r="D53" s="2">
        <v>19322</v>
      </c>
      <c r="E53" s="1">
        <v>595</v>
      </c>
      <c r="F53" s="1">
        <v>3.93</v>
      </c>
      <c r="G53" s="1">
        <v>1423</v>
      </c>
      <c r="H53" s="1">
        <v>7.77</v>
      </c>
      <c r="I53" s="1" t="s">
        <v>16</v>
      </c>
      <c r="J53" s="1" t="s">
        <v>14</v>
      </c>
      <c r="K53" s="26">
        <v>8</v>
      </c>
    </row>
    <row r="54" spans="1:11" x14ac:dyDescent="0.25">
      <c r="A54" s="25" t="s">
        <v>11</v>
      </c>
      <c r="B54" s="1" t="s">
        <v>19</v>
      </c>
      <c r="C54" s="2">
        <v>120198</v>
      </c>
      <c r="D54" s="2">
        <v>23360</v>
      </c>
      <c r="E54" s="1">
        <v>567</v>
      </c>
      <c r="F54" s="1">
        <v>3.06</v>
      </c>
      <c r="G54" s="1">
        <v>13831</v>
      </c>
      <c r="H54" s="1">
        <v>1.58</v>
      </c>
      <c r="I54" s="1" t="s">
        <v>22</v>
      </c>
      <c r="J54" s="1" t="s">
        <v>17</v>
      </c>
      <c r="K54" s="26">
        <v>9</v>
      </c>
    </row>
    <row r="55" spans="1:11" x14ac:dyDescent="0.25">
      <c r="A55" s="25" t="s">
        <v>15</v>
      </c>
      <c r="B55" s="1" t="s">
        <v>12</v>
      </c>
      <c r="C55" s="2">
        <v>12356</v>
      </c>
      <c r="D55" s="2">
        <v>30055</v>
      </c>
      <c r="E55" s="1">
        <v>534</v>
      </c>
      <c r="F55" s="1">
        <v>1.65</v>
      </c>
      <c r="G55" s="1">
        <v>19683</v>
      </c>
      <c r="H55" s="1">
        <v>21.78</v>
      </c>
      <c r="I55" s="1" t="s">
        <v>13</v>
      </c>
      <c r="J55" s="1" t="s">
        <v>20</v>
      </c>
      <c r="K55" s="26">
        <v>3</v>
      </c>
    </row>
    <row r="56" spans="1:11" x14ac:dyDescent="0.25">
      <c r="A56" s="25" t="s">
        <v>11</v>
      </c>
      <c r="B56" s="1" t="s">
        <v>12</v>
      </c>
      <c r="C56" s="2">
        <v>80326</v>
      </c>
      <c r="D56" s="2">
        <v>43891</v>
      </c>
      <c r="E56" s="1">
        <v>686</v>
      </c>
      <c r="F56" s="1">
        <v>1.33</v>
      </c>
      <c r="G56" s="1">
        <v>7078</v>
      </c>
      <c r="H56" s="1">
        <v>3.64</v>
      </c>
      <c r="I56" s="1" t="s">
        <v>26</v>
      </c>
      <c r="J56" s="1" t="s">
        <v>17</v>
      </c>
      <c r="K56" s="26">
        <v>2</v>
      </c>
    </row>
    <row r="57" spans="1:11" x14ac:dyDescent="0.25">
      <c r="A57" s="25" t="s">
        <v>15</v>
      </c>
      <c r="B57" s="1" t="s">
        <v>25</v>
      </c>
      <c r="C57" s="2">
        <v>102447</v>
      </c>
      <c r="D57" s="2">
        <v>17376</v>
      </c>
      <c r="E57" s="1">
        <v>111</v>
      </c>
      <c r="F57" s="1">
        <v>1.08</v>
      </c>
      <c r="G57" s="1">
        <v>5375</v>
      </c>
      <c r="H57" s="1">
        <v>9.08</v>
      </c>
      <c r="I57" s="1" t="s">
        <v>16</v>
      </c>
      <c r="J57" s="1" t="s">
        <v>20</v>
      </c>
      <c r="K57" s="26">
        <v>4</v>
      </c>
    </row>
    <row r="58" spans="1:11" x14ac:dyDescent="0.25">
      <c r="A58" s="25" t="s">
        <v>15</v>
      </c>
      <c r="B58" s="1" t="s">
        <v>19</v>
      </c>
      <c r="C58" s="2">
        <v>124994</v>
      </c>
      <c r="D58" s="2">
        <v>7588</v>
      </c>
      <c r="E58" s="1">
        <v>801</v>
      </c>
      <c r="F58" s="1">
        <v>1.66</v>
      </c>
      <c r="G58" s="1">
        <v>12754</v>
      </c>
      <c r="H58" s="1">
        <v>15.97</v>
      </c>
      <c r="I58" s="1" t="s">
        <v>26</v>
      </c>
      <c r="J58" s="1" t="s">
        <v>14</v>
      </c>
      <c r="K58" s="26">
        <v>2</v>
      </c>
    </row>
    <row r="59" spans="1:11" x14ac:dyDescent="0.25">
      <c r="A59" s="25" t="s">
        <v>18</v>
      </c>
      <c r="B59" s="1" t="s">
        <v>19</v>
      </c>
      <c r="C59" s="2">
        <v>30049</v>
      </c>
      <c r="D59" s="2">
        <v>26000</v>
      </c>
      <c r="E59" s="1">
        <v>779</v>
      </c>
      <c r="F59" s="1">
        <v>4.5599999999999996</v>
      </c>
      <c r="G59" s="1">
        <v>18686</v>
      </c>
      <c r="H59" s="1">
        <v>16.93</v>
      </c>
      <c r="I59" s="1" t="s">
        <v>16</v>
      </c>
      <c r="J59" s="1" t="s">
        <v>20</v>
      </c>
      <c r="K59" s="26">
        <v>1</v>
      </c>
    </row>
    <row r="60" spans="1:11" x14ac:dyDescent="0.25">
      <c r="A60" s="25" t="s">
        <v>11</v>
      </c>
      <c r="B60" s="1" t="s">
        <v>21</v>
      </c>
      <c r="C60" s="2">
        <v>115361</v>
      </c>
      <c r="D60" s="2">
        <v>7304</v>
      </c>
      <c r="E60" s="1">
        <v>991</v>
      </c>
      <c r="F60" s="1">
        <v>1.97</v>
      </c>
      <c r="G60" s="1">
        <v>11405</v>
      </c>
      <c r="H60" s="1">
        <v>18.02</v>
      </c>
      <c r="I60" s="1" t="s">
        <v>22</v>
      </c>
      <c r="J60" s="1" t="s">
        <v>20</v>
      </c>
      <c r="K60" s="26">
        <v>3</v>
      </c>
    </row>
    <row r="61" spans="1:11" x14ac:dyDescent="0.25">
      <c r="A61" s="25" t="s">
        <v>18</v>
      </c>
      <c r="B61" s="1" t="s">
        <v>12</v>
      </c>
      <c r="C61" s="2">
        <v>26082</v>
      </c>
      <c r="D61" s="2">
        <v>8345</v>
      </c>
      <c r="E61" s="1">
        <v>858</v>
      </c>
      <c r="F61" s="1">
        <v>2.42</v>
      </c>
      <c r="G61" s="1">
        <v>13853</v>
      </c>
      <c r="H61" s="1">
        <v>4.99</v>
      </c>
      <c r="I61" s="1" t="s">
        <v>23</v>
      </c>
      <c r="J61" s="1" t="s">
        <v>14</v>
      </c>
      <c r="K61" s="26">
        <v>7</v>
      </c>
    </row>
    <row r="62" spans="1:11" x14ac:dyDescent="0.25">
      <c r="A62" s="25" t="s">
        <v>11</v>
      </c>
      <c r="B62" s="1" t="s">
        <v>12</v>
      </c>
      <c r="C62" s="2">
        <v>10661</v>
      </c>
      <c r="D62" s="2">
        <v>30300</v>
      </c>
      <c r="E62" s="1">
        <v>877</v>
      </c>
      <c r="F62" s="1">
        <v>1.42</v>
      </c>
      <c r="G62" s="1">
        <v>16382</v>
      </c>
      <c r="H62" s="1">
        <v>11.39</v>
      </c>
      <c r="I62" s="1" t="s">
        <v>26</v>
      </c>
      <c r="J62" s="1" t="s">
        <v>14</v>
      </c>
      <c r="K62" s="26">
        <v>1</v>
      </c>
    </row>
    <row r="63" spans="1:11" x14ac:dyDescent="0.25">
      <c r="A63" s="25" t="s">
        <v>11</v>
      </c>
      <c r="B63" s="1" t="s">
        <v>27</v>
      </c>
      <c r="C63" s="2">
        <v>178484</v>
      </c>
      <c r="D63" s="2">
        <v>25259</v>
      </c>
      <c r="E63" s="1">
        <v>407</v>
      </c>
      <c r="F63" s="1">
        <v>1.89</v>
      </c>
      <c r="G63" s="1">
        <v>19541</v>
      </c>
      <c r="H63" s="1">
        <v>18.52</v>
      </c>
      <c r="I63" s="1" t="s">
        <v>26</v>
      </c>
      <c r="J63" s="1" t="s">
        <v>20</v>
      </c>
      <c r="K63" s="26">
        <v>2</v>
      </c>
    </row>
    <row r="64" spans="1:11" x14ac:dyDescent="0.25">
      <c r="A64" s="25" t="s">
        <v>18</v>
      </c>
      <c r="B64" s="1" t="s">
        <v>21</v>
      </c>
      <c r="C64" s="2">
        <v>12920</v>
      </c>
      <c r="D64" s="2">
        <v>26470</v>
      </c>
      <c r="E64" s="1">
        <v>147</v>
      </c>
      <c r="F64" s="1">
        <v>3.08</v>
      </c>
      <c r="G64" s="1">
        <v>10163</v>
      </c>
      <c r="H64" s="1">
        <v>29.09</v>
      </c>
      <c r="I64" s="1" t="s">
        <v>23</v>
      </c>
      <c r="J64" s="1" t="s">
        <v>17</v>
      </c>
      <c r="K64" s="26">
        <v>1</v>
      </c>
    </row>
    <row r="65" spans="1:11" x14ac:dyDescent="0.25">
      <c r="A65" s="25" t="s">
        <v>18</v>
      </c>
      <c r="B65" s="1" t="s">
        <v>27</v>
      </c>
      <c r="C65" s="2">
        <v>89561</v>
      </c>
      <c r="D65" s="2">
        <v>24017</v>
      </c>
      <c r="E65" s="1">
        <v>684</v>
      </c>
      <c r="F65" s="1">
        <v>3.43</v>
      </c>
      <c r="G65" s="1">
        <v>19833</v>
      </c>
      <c r="H65" s="1">
        <v>21.83</v>
      </c>
      <c r="I65" s="1" t="s">
        <v>26</v>
      </c>
      <c r="J65" s="1" t="s">
        <v>20</v>
      </c>
      <c r="K65" s="26">
        <v>8</v>
      </c>
    </row>
    <row r="66" spans="1:11" x14ac:dyDescent="0.25">
      <c r="A66" s="25" t="s">
        <v>11</v>
      </c>
      <c r="B66" s="1" t="s">
        <v>27</v>
      </c>
      <c r="C66" s="2">
        <v>18946</v>
      </c>
      <c r="D66" s="2">
        <v>16352</v>
      </c>
      <c r="E66" s="1">
        <v>930</v>
      </c>
      <c r="F66" s="1">
        <v>1.98</v>
      </c>
      <c r="G66" s="1">
        <v>1441</v>
      </c>
      <c r="H66" s="1">
        <v>27.68</v>
      </c>
      <c r="I66" s="1" t="s">
        <v>26</v>
      </c>
      <c r="J66" s="1" t="s">
        <v>14</v>
      </c>
      <c r="K66" s="26">
        <v>5</v>
      </c>
    </row>
    <row r="67" spans="1:11" x14ac:dyDescent="0.25">
      <c r="A67" s="25" t="s">
        <v>24</v>
      </c>
      <c r="B67" s="1" t="s">
        <v>27</v>
      </c>
      <c r="C67" s="2">
        <v>186572</v>
      </c>
      <c r="D67" s="2">
        <v>34365</v>
      </c>
      <c r="E67" s="1">
        <v>396</v>
      </c>
      <c r="F67" s="1">
        <v>1.23</v>
      </c>
      <c r="G67" s="1">
        <v>2407</v>
      </c>
      <c r="H67" s="1">
        <v>22.87</v>
      </c>
      <c r="I67" s="1" t="s">
        <v>16</v>
      </c>
      <c r="J67" s="1" t="s">
        <v>17</v>
      </c>
      <c r="K67" s="26">
        <v>8</v>
      </c>
    </row>
    <row r="68" spans="1:11" x14ac:dyDescent="0.25">
      <c r="A68" s="25" t="s">
        <v>15</v>
      </c>
      <c r="B68" s="1" t="s">
        <v>25</v>
      </c>
      <c r="C68" s="2">
        <v>26309</v>
      </c>
      <c r="D68" s="2">
        <v>20446</v>
      </c>
      <c r="E68" s="1">
        <v>120</v>
      </c>
      <c r="F68" s="1">
        <v>2.56</v>
      </c>
      <c r="G68" s="1">
        <v>5337</v>
      </c>
      <c r="H68" s="1">
        <v>17.75</v>
      </c>
      <c r="I68" s="1" t="s">
        <v>16</v>
      </c>
      <c r="J68" s="1" t="s">
        <v>14</v>
      </c>
      <c r="K68" s="26">
        <v>3</v>
      </c>
    </row>
    <row r="69" spans="1:11" x14ac:dyDescent="0.25">
      <c r="A69" s="25" t="s">
        <v>18</v>
      </c>
      <c r="B69" s="1" t="s">
        <v>25</v>
      </c>
      <c r="C69" s="2">
        <v>65230</v>
      </c>
      <c r="D69" s="2">
        <v>3336</v>
      </c>
      <c r="E69" s="1">
        <v>623</v>
      </c>
      <c r="F69" s="1">
        <v>1.94</v>
      </c>
      <c r="G69" s="1">
        <v>14180</v>
      </c>
      <c r="H69" s="1">
        <v>5.76</v>
      </c>
      <c r="I69" s="1" t="s">
        <v>23</v>
      </c>
      <c r="J69" s="1" t="s">
        <v>14</v>
      </c>
      <c r="K69" s="26">
        <v>7</v>
      </c>
    </row>
    <row r="70" spans="1:11" x14ac:dyDescent="0.25">
      <c r="A70" s="25" t="s">
        <v>15</v>
      </c>
      <c r="B70" s="1" t="s">
        <v>27</v>
      </c>
      <c r="C70" s="2">
        <v>121822</v>
      </c>
      <c r="D70" s="2">
        <v>10879</v>
      </c>
      <c r="E70" s="1">
        <v>26</v>
      </c>
      <c r="F70" s="1">
        <v>1.88</v>
      </c>
      <c r="G70" s="1">
        <v>18127</v>
      </c>
      <c r="H70" s="1">
        <v>20</v>
      </c>
      <c r="I70" s="1" t="s">
        <v>22</v>
      </c>
      <c r="J70" s="1" t="s">
        <v>17</v>
      </c>
      <c r="K70" s="26">
        <v>8</v>
      </c>
    </row>
    <row r="71" spans="1:11" x14ac:dyDescent="0.25">
      <c r="A71" s="25" t="s">
        <v>24</v>
      </c>
      <c r="B71" s="1" t="s">
        <v>21</v>
      </c>
      <c r="C71" s="2">
        <v>171099</v>
      </c>
      <c r="D71" s="2">
        <v>33316</v>
      </c>
      <c r="E71" s="1">
        <v>789</v>
      </c>
      <c r="F71" s="1">
        <v>4.84</v>
      </c>
      <c r="G71" s="1">
        <v>6196</v>
      </c>
      <c r="H71" s="1">
        <v>18.7</v>
      </c>
      <c r="I71" s="1" t="s">
        <v>26</v>
      </c>
      <c r="J71" s="1" t="s">
        <v>14</v>
      </c>
      <c r="K71" s="26">
        <v>6</v>
      </c>
    </row>
    <row r="72" spans="1:11" x14ac:dyDescent="0.25">
      <c r="A72" s="25" t="s">
        <v>24</v>
      </c>
      <c r="B72" s="1" t="s">
        <v>12</v>
      </c>
      <c r="C72" s="2">
        <v>122340</v>
      </c>
      <c r="D72" s="2">
        <v>34340</v>
      </c>
      <c r="E72" s="1">
        <v>191</v>
      </c>
      <c r="F72" s="1">
        <v>3.47</v>
      </c>
      <c r="G72" s="1">
        <v>16726</v>
      </c>
      <c r="H72" s="1">
        <v>18.07</v>
      </c>
      <c r="I72" s="1" t="s">
        <v>22</v>
      </c>
      <c r="J72" s="1" t="s">
        <v>14</v>
      </c>
      <c r="K72" s="26">
        <v>7</v>
      </c>
    </row>
    <row r="73" spans="1:11" x14ac:dyDescent="0.25">
      <c r="A73" s="25" t="s">
        <v>24</v>
      </c>
      <c r="B73" s="1" t="s">
        <v>21</v>
      </c>
      <c r="C73" s="2">
        <v>69321</v>
      </c>
      <c r="D73" s="2">
        <v>8521</v>
      </c>
      <c r="E73" s="1">
        <v>893</v>
      </c>
      <c r="F73" s="1">
        <v>3.23</v>
      </c>
      <c r="G73" s="1">
        <v>14043</v>
      </c>
      <c r="H73" s="1">
        <v>14.69</v>
      </c>
      <c r="I73" s="1" t="s">
        <v>23</v>
      </c>
      <c r="J73" s="1" t="s">
        <v>14</v>
      </c>
      <c r="K73" s="26">
        <v>2</v>
      </c>
    </row>
    <row r="74" spans="1:11" x14ac:dyDescent="0.25">
      <c r="A74" s="25" t="s">
        <v>18</v>
      </c>
      <c r="B74" s="1" t="s">
        <v>19</v>
      </c>
      <c r="C74" s="2">
        <v>142028</v>
      </c>
      <c r="D74" s="2">
        <v>7171</v>
      </c>
      <c r="E74" s="1">
        <v>545</v>
      </c>
      <c r="F74" s="1">
        <v>2.66</v>
      </c>
      <c r="G74" s="1">
        <v>13115</v>
      </c>
      <c r="H74" s="1">
        <v>15.86</v>
      </c>
      <c r="I74" s="1" t="s">
        <v>23</v>
      </c>
      <c r="J74" s="1" t="s">
        <v>14</v>
      </c>
      <c r="K74" s="26">
        <v>8</v>
      </c>
    </row>
    <row r="75" spans="1:11" x14ac:dyDescent="0.25">
      <c r="A75" s="25" t="s">
        <v>24</v>
      </c>
      <c r="B75" s="1" t="s">
        <v>25</v>
      </c>
      <c r="C75" s="2">
        <v>84131</v>
      </c>
      <c r="D75" s="2">
        <v>24481</v>
      </c>
      <c r="E75" s="1">
        <v>550</v>
      </c>
      <c r="F75" s="1">
        <v>2.72</v>
      </c>
      <c r="G75" s="1">
        <v>1966</v>
      </c>
      <c r="H75" s="1">
        <v>10.029999999999999</v>
      </c>
      <c r="I75" s="1" t="s">
        <v>16</v>
      </c>
      <c r="J75" s="1" t="s">
        <v>14</v>
      </c>
      <c r="K75" s="26">
        <v>5</v>
      </c>
    </row>
    <row r="76" spans="1:11" x14ac:dyDescent="0.25">
      <c r="A76" s="25" t="s">
        <v>18</v>
      </c>
      <c r="B76" s="1" t="s">
        <v>12</v>
      </c>
      <c r="C76" s="2">
        <v>188980</v>
      </c>
      <c r="D76" s="2">
        <v>19474</v>
      </c>
      <c r="E76" s="1">
        <v>180</v>
      </c>
      <c r="F76" s="1">
        <v>3.16</v>
      </c>
      <c r="G76" s="1">
        <v>18850</v>
      </c>
      <c r="H76" s="1">
        <v>15.58</v>
      </c>
      <c r="I76" s="1" t="s">
        <v>26</v>
      </c>
      <c r="J76" s="1" t="s">
        <v>14</v>
      </c>
      <c r="K76" s="26">
        <v>7</v>
      </c>
    </row>
    <row r="77" spans="1:11" x14ac:dyDescent="0.25">
      <c r="A77" s="25" t="s">
        <v>24</v>
      </c>
      <c r="B77" s="1" t="s">
        <v>12</v>
      </c>
      <c r="C77" s="2">
        <v>35963</v>
      </c>
      <c r="D77" s="2">
        <v>47760</v>
      </c>
      <c r="E77" s="1">
        <v>418</v>
      </c>
      <c r="F77" s="1">
        <v>3.79</v>
      </c>
      <c r="G77" s="1">
        <v>875</v>
      </c>
      <c r="H77" s="1">
        <v>5.93</v>
      </c>
      <c r="I77" s="1" t="s">
        <v>13</v>
      </c>
      <c r="J77" s="1" t="s">
        <v>14</v>
      </c>
      <c r="K77" s="26">
        <v>1</v>
      </c>
    </row>
    <row r="78" spans="1:11" x14ac:dyDescent="0.25">
      <c r="A78" s="25" t="s">
        <v>15</v>
      </c>
      <c r="B78" s="1" t="s">
        <v>19</v>
      </c>
      <c r="C78" s="2">
        <v>111757</v>
      </c>
      <c r="D78" s="2">
        <v>45629</v>
      </c>
      <c r="E78" s="1">
        <v>749</v>
      </c>
      <c r="F78" s="1">
        <v>3.81</v>
      </c>
      <c r="G78" s="1">
        <v>762</v>
      </c>
      <c r="H78" s="1">
        <v>24.16</v>
      </c>
      <c r="I78" s="1" t="s">
        <v>23</v>
      </c>
      <c r="J78" s="1" t="s">
        <v>14</v>
      </c>
      <c r="K78" s="26">
        <v>5</v>
      </c>
    </row>
    <row r="79" spans="1:11" x14ac:dyDescent="0.25">
      <c r="A79" s="25" t="s">
        <v>15</v>
      </c>
      <c r="B79" s="1" t="s">
        <v>19</v>
      </c>
      <c r="C79" s="2">
        <v>180515</v>
      </c>
      <c r="D79" s="2">
        <v>46232</v>
      </c>
      <c r="E79" s="1">
        <v>387</v>
      </c>
      <c r="F79" s="1">
        <v>1.69</v>
      </c>
      <c r="G79" s="1">
        <v>12080</v>
      </c>
      <c r="H79" s="1">
        <v>5.57</v>
      </c>
      <c r="I79" s="1" t="s">
        <v>26</v>
      </c>
      <c r="J79" s="1" t="s">
        <v>14</v>
      </c>
      <c r="K79" s="26">
        <v>1</v>
      </c>
    </row>
    <row r="80" spans="1:11" x14ac:dyDescent="0.25">
      <c r="A80" s="25" t="s">
        <v>11</v>
      </c>
      <c r="B80" s="1" t="s">
        <v>27</v>
      </c>
      <c r="C80" s="2">
        <v>109259</v>
      </c>
      <c r="D80" s="2">
        <v>22008</v>
      </c>
      <c r="E80" s="1">
        <v>197</v>
      </c>
      <c r="F80" s="1">
        <v>3</v>
      </c>
      <c r="G80" s="1">
        <v>10636</v>
      </c>
      <c r="H80" s="1">
        <v>2.5499999999999998</v>
      </c>
      <c r="I80" s="1" t="s">
        <v>22</v>
      </c>
      <c r="J80" s="1" t="s">
        <v>20</v>
      </c>
      <c r="K80" s="26">
        <v>8</v>
      </c>
    </row>
    <row r="81" spans="1:11" x14ac:dyDescent="0.25">
      <c r="A81" s="25" t="s">
        <v>15</v>
      </c>
      <c r="B81" s="1" t="s">
        <v>25</v>
      </c>
      <c r="C81" s="2">
        <v>49063</v>
      </c>
      <c r="D81" s="2">
        <v>2633</v>
      </c>
      <c r="E81" s="1">
        <v>867</v>
      </c>
      <c r="F81" s="1">
        <v>2.65</v>
      </c>
      <c r="G81" s="1">
        <v>8333</v>
      </c>
      <c r="H81" s="1">
        <v>13.09</v>
      </c>
      <c r="I81" s="1" t="s">
        <v>16</v>
      </c>
      <c r="J81" s="1" t="s">
        <v>20</v>
      </c>
      <c r="K81" s="26">
        <v>4</v>
      </c>
    </row>
    <row r="82" spans="1:11" x14ac:dyDescent="0.25">
      <c r="A82" s="25" t="s">
        <v>11</v>
      </c>
      <c r="B82" s="1" t="s">
        <v>25</v>
      </c>
      <c r="C82" s="2">
        <v>124225</v>
      </c>
      <c r="D82" s="2">
        <v>13485</v>
      </c>
      <c r="E82" s="1">
        <v>239</v>
      </c>
      <c r="F82" s="1">
        <v>4.4800000000000004</v>
      </c>
      <c r="G82" s="1">
        <v>2393</v>
      </c>
      <c r="H82" s="1">
        <v>19.75</v>
      </c>
      <c r="I82" s="1" t="s">
        <v>22</v>
      </c>
      <c r="J82" s="1" t="s">
        <v>14</v>
      </c>
      <c r="K82" s="26">
        <v>4</v>
      </c>
    </row>
    <row r="83" spans="1:11" x14ac:dyDescent="0.25">
      <c r="A83" s="25" t="s">
        <v>15</v>
      </c>
      <c r="B83" s="1" t="s">
        <v>21</v>
      </c>
      <c r="C83" s="2">
        <v>126400</v>
      </c>
      <c r="D83" s="2">
        <v>44617</v>
      </c>
      <c r="E83" s="1">
        <v>842</v>
      </c>
      <c r="F83" s="1">
        <v>3.53</v>
      </c>
      <c r="G83" s="1">
        <v>8606</v>
      </c>
      <c r="H83" s="1">
        <v>13.13</v>
      </c>
      <c r="I83" s="1" t="s">
        <v>23</v>
      </c>
      <c r="J83" s="1" t="s">
        <v>20</v>
      </c>
      <c r="K83" s="26">
        <v>2</v>
      </c>
    </row>
    <row r="84" spans="1:11" x14ac:dyDescent="0.25">
      <c r="A84" s="25" t="s">
        <v>18</v>
      </c>
      <c r="B84" s="1" t="s">
        <v>27</v>
      </c>
      <c r="C84" s="2">
        <v>90818</v>
      </c>
      <c r="D84" s="2">
        <v>4648</v>
      </c>
      <c r="E84" s="1">
        <v>861</v>
      </c>
      <c r="F84" s="1">
        <v>3.13</v>
      </c>
      <c r="G84" s="1">
        <v>12326</v>
      </c>
      <c r="H84" s="1">
        <v>8.3000000000000007</v>
      </c>
      <c r="I84" s="1" t="s">
        <v>23</v>
      </c>
      <c r="J84" s="1" t="s">
        <v>17</v>
      </c>
      <c r="K84" s="26">
        <v>5</v>
      </c>
    </row>
    <row r="85" spans="1:11" x14ac:dyDescent="0.25">
      <c r="A85" s="25" t="s">
        <v>15</v>
      </c>
      <c r="B85" s="1" t="s">
        <v>27</v>
      </c>
      <c r="C85" s="2">
        <v>14703</v>
      </c>
      <c r="D85" s="2">
        <v>48945</v>
      </c>
      <c r="E85" s="1">
        <v>128</v>
      </c>
      <c r="F85" s="1">
        <v>1.46</v>
      </c>
      <c r="G85" s="1">
        <v>2152</v>
      </c>
      <c r="H85" s="1">
        <v>16.75</v>
      </c>
      <c r="I85" s="1" t="s">
        <v>22</v>
      </c>
      <c r="J85" s="1" t="s">
        <v>20</v>
      </c>
      <c r="K85" s="26">
        <v>1</v>
      </c>
    </row>
    <row r="86" spans="1:11" x14ac:dyDescent="0.25">
      <c r="A86" s="25" t="s">
        <v>11</v>
      </c>
      <c r="B86" s="1" t="s">
        <v>27</v>
      </c>
      <c r="C86" s="2">
        <v>82099</v>
      </c>
      <c r="D86" s="2">
        <v>14140</v>
      </c>
      <c r="E86" s="1">
        <v>165</v>
      </c>
      <c r="F86" s="1">
        <v>3.42</v>
      </c>
      <c r="G86" s="1">
        <v>1099</v>
      </c>
      <c r="H86" s="1">
        <v>10.41</v>
      </c>
      <c r="I86" s="1" t="s">
        <v>23</v>
      </c>
      <c r="J86" s="1" t="s">
        <v>14</v>
      </c>
      <c r="K86" s="26">
        <v>9</v>
      </c>
    </row>
    <row r="87" spans="1:11" x14ac:dyDescent="0.25">
      <c r="A87" s="25" t="s">
        <v>11</v>
      </c>
      <c r="B87" s="1" t="s">
        <v>27</v>
      </c>
      <c r="C87" s="2">
        <v>166921</v>
      </c>
      <c r="D87" s="2">
        <v>18921</v>
      </c>
      <c r="E87" s="1">
        <v>793</v>
      </c>
      <c r="F87" s="1">
        <v>1.47</v>
      </c>
      <c r="G87" s="1">
        <v>18796</v>
      </c>
      <c r="H87" s="1">
        <v>27.99</v>
      </c>
      <c r="I87" s="1" t="s">
        <v>26</v>
      </c>
      <c r="J87" s="1" t="s">
        <v>14</v>
      </c>
      <c r="K87" s="26">
        <v>5</v>
      </c>
    </row>
    <row r="88" spans="1:11" x14ac:dyDescent="0.25">
      <c r="A88" s="25" t="s">
        <v>24</v>
      </c>
      <c r="B88" s="1" t="s">
        <v>25</v>
      </c>
      <c r="C88" s="2">
        <v>172932</v>
      </c>
      <c r="D88" s="2">
        <v>15357</v>
      </c>
      <c r="E88" s="1">
        <v>696</v>
      </c>
      <c r="F88" s="1">
        <v>2.35</v>
      </c>
      <c r="G88" s="1">
        <v>9292</v>
      </c>
      <c r="H88" s="1">
        <v>27.68</v>
      </c>
      <c r="I88" s="1" t="s">
        <v>23</v>
      </c>
      <c r="J88" s="1" t="s">
        <v>20</v>
      </c>
      <c r="K88" s="26">
        <v>6</v>
      </c>
    </row>
    <row r="89" spans="1:11" x14ac:dyDescent="0.25">
      <c r="A89" s="25" t="s">
        <v>18</v>
      </c>
      <c r="B89" s="1" t="s">
        <v>25</v>
      </c>
      <c r="C89" s="2">
        <v>41585</v>
      </c>
      <c r="D89" s="2">
        <v>47136</v>
      </c>
      <c r="E89" s="1">
        <v>474</v>
      </c>
      <c r="F89" s="1">
        <v>1.57</v>
      </c>
      <c r="G89" s="1">
        <v>4137</v>
      </c>
      <c r="H89" s="1">
        <v>15.07</v>
      </c>
      <c r="I89" s="1" t="s">
        <v>16</v>
      </c>
      <c r="J89" s="1" t="s">
        <v>14</v>
      </c>
      <c r="K89" s="26">
        <v>2</v>
      </c>
    </row>
    <row r="90" spans="1:11" x14ac:dyDescent="0.25">
      <c r="A90" s="25" t="s">
        <v>15</v>
      </c>
      <c r="B90" s="1" t="s">
        <v>27</v>
      </c>
      <c r="C90" s="2">
        <v>163087</v>
      </c>
      <c r="D90" s="2">
        <v>4137</v>
      </c>
      <c r="E90" s="1">
        <v>113</v>
      </c>
      <c r="F90" s="1">
        <v>3.77</v>
      </c>
      <c r="G90" s="1">
        <v>10855</v>
      </c>
      <c r="H90" s="1">
        <v>9.84</v>
      </c>
      <c r="I90" s="1" t="s">
        <v>26</v>
      </c>
      <c r="J90" s="1" t="s">
        <v>17</v>
      </c>
      <c r="K90" s="26">
        <v>1</v>
      </c>
    </row>
    <row r="91" spans="1:11" x14ac:dyDescent="0.25">
      <c r="A91" s="25" t="s">
        <v>24</v>
      </c>
      <c r="B91" s="1" t="s">
        <v>21</v>
      </c>
      <c r="C91" s="2">
        <v>53585</v>
      </c>
      <c r="D91" s="2">
        <v>1097</v>
      </c>
      <c r="E91" s="1">
        <v>613</v>
      </c>
      <c r="F91" s="1">
        <v>1.83</v>
      </c>
      <c r="G91" s="1">
        <v>16489</v>
      </c>
      <c r="H91" s="1">
        <v>22.11</v>
      </c>
      <c r="I91" s="1" t="s">
        <v>13</v>
      </c>
      <c r="J91" s="1" t="s">
        <v>17</v>
      </c>
      <c r="K91" s="26">
        <v>4</v>
      </c>
    </row>
    <row r="92" spans="1:11" x14ac:dyDescent="0.25">
      <c r="A92" s="25" t="s">
        <v>15</v>
      </c>
      <c r="B92" s="1" t="s">
        <v>12</v>
      </c>
      <c r="C92" s="2">
        <v>36958</v>
      </c>
      <c r="D92" s="2">
        <v>12407</v>
      </c>
      <c r="E92" s="1">
        <v>707</v>
      </c>
      <c r="F92" s="1">
        <v>2.57</v>
      </c>
      <c r="G92" s="1">
        <v>9790</v>
      </c>
      <c r="H92" s="1">
        <v>1.1000000000000001</v>
      </c>
      <c r="I92" s="1" t="s">
        <v>23</v>
      </c>
      <c r="J92" s="1" t="s">
        <v>14</v>
      </c>
      <c r="K92" s="26">
        <v>7</v>
      </c>
    </row>
    <row r="93" spans="1:11" x14ac:dyDescent="0.25">
      <c r="A93" s="25" t="s">
        <v>15</v>
      </c>
      <c r="B93" s="1" t="s">
        <v>12</v>
      </c>
      <c r="C93" s="2">
        <v>36017</v>
      </c>
      <c r="D93" s="2">
        <v>31575</v>
      </c>
      <c r="E93" s="1">
        <v>981</v>
      </c>
      <c r="F93" s="1">
        <v>4.58</v>
      </c>
      <c r="G93" s="1">
        <v>6099</v>
      </c>
      <c r="H93" s="1">
        <v>14.24</v>
      </c>
      <c r="I93" s="1" t="s">
        <v>23</v>
      </c>
      <c r="J93" s="1" t="s">
        <v>17</v>
      </c>
      <c r="K93" s="26">
        <v>6</v>
      </c>
    </row>
    <row r="94" spans="1:11" x14ac:dyDescent="0.25">
      <c r="A94" s="25" t="s">
        <v>24</v>
      </c>
      <c r="B94" s="1" t="s">
        <v>21</v>
      </c>
      <c r="C94" s="2">
        <v>134677</v>
      </c>
      <c r="D94" s="2">
        <v>13722</v>
      </c>
      <c r="E94" s="1">
        <v>804</v>
      </c>
      <c r="F94" s="1">
        <v>1.82</v>
      </c>
      <c r="G94" s="1">
        <v>14842</v>
      </c>
      <c r="H94" s="1">
        <v>10.09</v>
      </c>
      <c r="I94" s="1" t="s">
        <v>16</v>
      </c>
      <c r="J94" s="1" t="s">
        <v>17</v>
      </c>
      <c r="K94" s="26">
        <v>1</v>
      </c>
    </row>
    <row r="95" spans="1:11" x14ac:dyDescent="0.25">
      <c r="A95" s="25" t="s">
        <v>24</v>
      </c>
      <c r="B95" s="1" t="s">
        <v>27</v>
      </c>
      <c r="C95" s="2">
        <v>186422</v>
      </c>
      <c r="D95" s="2">
        <v>13924</v>
      </c>
      <c r="E95" s="1">
        <v>511</v>
      </c>
      <c r="F95" s="1">
        <v>3.03</v>
      </c>
      <c r="G95" s="1">
        <v>14445</v>
      </c>
      <c r="H95" s="1">
        <v>27.62</v>
      </c>
      <c r="I95" s="1" t="s">
        <v>16</v>
      </c>
      <c r="J95" s="1" t="s">
        <v>20</v>
      </c>
      <c r="K95" s="26">
        <v>1</v>
      </c>
    </row>
    <row r="96" spans="1:11" x14ac:dyDescent="0.25">
      <c r="A96" s="25" t="s">
        <v>24</v>
      </c>
      <c r="B96" s="1" t="s">
        <v>25</v>
      </c>
      <c r="C96" s="2">
        <v>153273</v>
      </c>
      <c r="D96" s="2">
        <v>4750</v>
      </c>
      <c r="E96" s="1">
        <v>702</v>
      </c>
      <c r="F96" s="1">
        <v>2.68</v>
      </c>
      <c r="G96" s="1">
        <v>11262</v>
      </c>
      <c r="H96" s="1">
        <v>0.36</v>
      </c>
      <c r="I96" s="1" t="s">
        <v>22</v>
      </c>
      <c r="J96" s="1" t="s">
        <v>17</v>
      </c>
      <c r="K96" s="26">
        <v>8</v>
      </c>
    </row>
    <row r="97" spans="1:11" x14ac:dyDescent="0.25">
      <c r="A97" s="25" t="s">
        <v>24</v>
      </c>
      <c r="B97" s="1" t="s">
        <v>12</v>
      </c>
      <c r="C97" s="2">
        <v>39426</v>
      </c>
      <c r="D97" s="2">
        <v>28733</v>
      </c>
      <c r="E97" s="1">
        <v>691</v>
      </c>
      <c r="F97" s="1">
        <v>1.07</v>
      </c>
      <c r="G97" s="1">
        <v>14812</v>
      </c>
      <c r="H97" s="1">
        <v>16.579999999999998</v>
      </c>
      <c r="I97" s="1" t="s">
        <v>22</v>
      </c>
      <c r="J97" s="1" t="s">
        <v>20</v>
      </c>
      <c r="K97" s="26">
        <v>4</v>
      </c>
    </row>
    <row r="98" spans="1:11" x14ac:dyDescent="0.25">
      <c r="A98" s="25" t="s">
        <v>24</v>
      </c>
      <c r="B98" s="1" t="s">
        <v>19</v>
      </c>
      <c r="C98" s="2">
        <v>27778</v>
      </c>
      <c r="D98" s="2">
        <v>9535</v>
      </c>
      <c r="E98" s="1">
        <v>708</v>
      </c>
      <c r="F98" s="1">
        <v>4.17</v>
      </c>
      <c r="G98" s="1">
        <v>7882</v>
      </c>
      <c r="H98" s="1">
        <v>22.22</v>
      </c>
      <c r="I98" s="1" t="s">
        <v>22</v>
      </c>
      <c r="J98" s="1" t="s">
        <v>14</v>
      </c>
      <c r="K98" s="26">
        <v>5</v>
      </c>
    </row>
    <row r="99" spans="1:11" x14ac:dyDescent="0.25">
      <c r="A99" s="25" t="s">
        <v>15</v>
      </c>
      <c r="B99" s="1" t="s">
        <v>19</v>
      </c>
      <c r="C99" s="2">
        <v>186313</v>
      </c>
      <c r="D99" s="2">
        <v>25487</v>
      </c>
      <c r="E99" s="1">
        <v>184</v>
      </c>
      <c r="F99" s="1">
        <v>1.28</v>
      </c>
      <c r="G99" s="1">
        <v>9482</v>
      </c>
      <c r="H99" s="1">
        <v>14.55</v>
      </c>
      <c r="I99" s="1" t="s">
        <v>16</v>
      </c>
      <c r="J99" s="1" t="s">
        <v>20</v>
      </c>
      <c r="K99" s="26">
        <v>7</v>
      </c>
    </row>
    <row r="100" spans="1:11" x14ac:dyDescent="0.25">
      <c r="A100" s="25" t="s">
        <v>24</v>
      </c>
      <c r="B100" s="1" t="s">
        <v>21</v>
      </c>
      <c r="C100" s="2">
        <v>52229</v>
      </c>
      <c r="D100" s="2">
        <v>31651</v>
      </c>
      <c r="E100" s="1">
        <v>743</v>
      </c>
      <c r="F100" s="1">
        <v>2.9</v>
      </c>
      <c r="G100" s="1">
        <v>8207</v>
      </c>
      <c r="H100" s="1">
        <v>2.56</v>
      </c>
      <c r="I100" s="1" t="s">
        <v>22</v>
      </c>
      <c r="J100" s="1" t="s">
        <v>14</v>
      </c>
      <c r="K100" s="26">
        <v>8</v>
      </c>
    </row>
    <row r="101" spans="1:11" x14ac:dyDescent="0.25">
      <c r="A101" s="25" t="s">
        <v>18</v>
      </c>
      <c r="B101" s="1" t="s">
        <v>27</v>
      </c>
      <c r="C101" s="2">
        <v>96652</v>
      </c>
      <c r="D101" s="2">
        <v>5666</v>
      </c>
      <c r="E101" s="1">
        <v>754</v>
      </c>
      <c r="F101" s="1">
        <v>3.24</v>
      </c>
      <c r="G101" s="1">
        <v>17630</v>
      </c>
      <c r="H101" s="1">
        <v>29.17</v>
      </c>
      <c r="I101" s="1" t="s">
        <v>22</v>
      </c>
      <c r="J101" s="1" t="s">
        <v>14</v>
      </c>
      <c r="K101" s="26">
        <v>7</v>
      </c>
    </row>
    <row r="102" spans="1:11" x14ac:dyDescent="0.25">
      <c r="A102" s="25" t="s">
        <v>11</v>
      </c>
      <c r="B102" s="1" t="s">
        <v>12</v>
      </c>
      <c r="C102" s="2">
        <v>138267</v>
      </c>
      <c r="D102" s="2">
        <v>49777</v>
      </c>
      <c r="E102" s="1">
        <v>683</v>
      </c>
      <c r="F102" s="1">
        <v>3.51</v>
      </c>
      <c r="G102" s="1">
        <v>5133</v>
      </c>
      <c r="H102" s="1">
        <v>15.54</v>
      </c>
      <c r="I102" s="1" t="s">
        <v>13</v>
      </c>
      <c r="J102" s="1" t="s">
        <v>14</v>
      </c>
      <c r="K102" s="26">
        <v>2</v>
      </c>
    </row>
    <row r="103" spans="1:11" x14ac:dyDescent="0.25">
      <c r="A103" s="25" t="s">
        <v>24</v>
      </c>
      <c r="B103" s="1" t="s">
        <v>27</v>
      </c>
      <c r="C103" s="2">
        <v>189436</v>
      </c>
      <c r="D103" s="2">
        <v>17994</v>
      </c>
      <c r="E103" s="1">
        <v>430</v>
      </c>
      <c r="F103" s="1">
        <v>3.75</v>
      </c>
      <c r="G103" s="1">
        <v>17804</v>
      </c>
      <c r="H103" s="1">
        <v>18.43</v>
      </c>
      <c r="I103" s="1" t="s">
        <v>22</v>
      </c>
      <c r="J103" s="1" t="s">
        <v>14</v>
      </c>
      <c r="K103" s="26">
        <v>4</v>
      </c>
    </row>
    <row r="104" spans="1:11" x14ac:dyDescent="0.25">
      <c r="A104" s="25" t="s">
        <v>24</v>
      </c>
      <c r="B104" s="1" t="s">
        <v>12</v>
      </c>
      <c r="C104" s="2">
        <v>136503</v>
      </c>
      <c r="D104" s="2">
        <v>2727</v>
      </c>
      <c r="E104" s="1">
        <v>143</v>
      </c>
      <c r="F104" s="1">
        <v>2.0099999999999998</v>
      </c>
      <c r="G104" s="1">
        <v>9769</v>
      </c>
      <c r="H104" s="1">
        <v>7.1</v>
      </c>
      <c r="I104" s="1" t="s">
        <v>23</v>
      </c>
      <c r="J104" s="1" t="s">
        <v>14</v>
      </c>
      <c r="K104" s="26">
        <v>1</v>
      </c>
    </row>
    <row r="105" spans="1:11" x14ac:dyDescent="0.25">
      <c r="A105" s="25" t="s">
        <v>15</v>
      </c>
      <c r="B105" s="1" t="s">
        <v>21</v>
      </c>
      <c r="C105" s="2">
        <v>94878</v>
      </c>
      <c r="D105" s="2">
        <v>35622</v>
      </c>
      <c r="E105" s="1">
        <v>400</v>
      </c>
      <c r="F105" s="1">
        <v>1.04</v>
      </c>
      <c r="G105" s="1">
        <v>14278</v>
      </c>
      <c r="H105" s="1">
        <v>14.5</v>
      </c>
      <c r="I105" s="1" t="s">
        <v>16</v>
      </c>
      <c r="J105" s="1" t="s">
        <v>20</v>
      </c>
      <c r="K105" s="26">
        <v>9</v>
      </c>
    </row>
    <row r="106" spans="1:11" x14ac:dyDescent="0.25">
      <c r="A106" s="25" t="s">
        <v>24</v>
      </c>
      <c r="B106" s="1" t="s">
        <v>21</v>
      </c>
      <c r="C106" s="2">
        <v>67056</v>
      </c>
      <c r="D106" s="2">
        <v>11800</v>
      </c>
      <c r="E106" s="1">
        <v>745</v>
      </c>
      <c r="F106" s="1">
        <v>3.89</v>
      </c>
      <c r="G106" s="1">
        <v>7508</v>
      </c>
      <c r="H106" s="1">
        <v>12.87</v>
      </c>
      <c r="I106" s="1" t="s">
        <v>26</v>
      </c>
      <c r="J106" s="1" t="s">
        <v>14</v>
      </c>
      <c r="K106" s="26">
        <v>3</v>
      </c>
    </row>
    <row r="107" spans="1:11" x14ac:dyDescent="0.25">
      <c r="A107" s="25" t="s">
        <v>24</v>
      </c>
      <c r="B107" s="1" t="s">
        <v>19</v>
      </c>
      <c r="C107" s="2">
        <v>168562</v>
      </c>
      <c r="D107" s="2">
        <v>38823</v>
      </c>
      <c r="E107" s="1">
        <v>510</v>
      </c>
      <c r="F107" s="1">
        <v>3.14</v>
      </c>
      <c r="G107" s="1">
        <v>16023</v>
      </c>
      <c r="H107" s="1">
        <v>2.25</v>
      </c>
      <c r="I107" s="1" t="s">
        <v>13</v>
      </c>
      <c r="J107" s="1" t="s">
        <v>17</v>
      </c>
      <c r="K107" s="26">
        <v>3</v>
      </c>
    </row>
    <row r="108" spans="1:11" x14ac:dyDescent="0.25">
      <c r="A108" s="25" t="s">
        <v>24</v>
      </c>
      <c r="B108" s="1" t="s">
        <v>27</v>
      </c>
      <c r="C108" s="2">
        <v>29975</v>
      </c>
      <c r="D108" s="2">
        <v>44039</v>
      </c>
      <c r="E108" s="1">
        <v>674</v>
      </c>
      <c r="F108" s="1">
        <v>4.34</v>
      </c>
      <c r="G108" s="1">
        <v>19265</v>
      </c>
      <c r="H108" s="1">
        <v>3.18</v>
      </c>
      <c r="I108" s="1" t="s">
        <v>16</v>
      </c>
      <c r="J108" s="1" t="s">
        <v>17</v>
      </c>
      <c r="K108" s="26">
        <v>9</v>
      </c>
    </row>
    <row r="109" spans="1:11" x14ac:dyDescent="0.25">
      <c r="A109" s="25" t="s">
        <v>15</v>
      </c>
      <c r="B109" s="1" t="s">
        <v>19</v>
      </c>
      <c r="C109" s="2">
        <v>167795</v>
      </c>
      <c r="D109" s="2">
        <v>19708</v>
      </c>
      <c r="E109" s="1">
        <v>42</v>
      </c>
      <c r="F109" s="1">
        <v>4.29</v>
      </c>
      <c r="G109" s="1">
        <v>4118</v>
      </c>
      <c r="H109" s="1">
        <v>25.12</v>
      </c>
      <c r="I109" s="1" t="s">
        <v>16</v>
      </c>
      <c r="J109" s="1" t="s">
        <v>14</v>
      </c>
      <c r="K109" s="26">
        <v>3</v>
      </c>
    </row>
    <row r="110" spans="1:11" x14ac:dyDescent="0.25">
      <c r="A110" s="25" t="s">
        <v>24</v>
      </c>
      <c r="B110" s="1" t="s">
        <v>27</v>
      </c>
      <c r="C110" s="2">
        <v>164351</v>
      </c>
      <c r="D110" s="2">
        <v>13819</v>
      </c>
      <c r="E110" s="1">
        <v>64</v>
      </c>
      <c r="F110" s="1">
        <v>4.37</v>
      </c>
      <c r="G110" s="1">
        <v>772</v>
      </c>
      <c r="H110" s="1">
        <v>7.19</v>
      </c>
      <c r="I110" s="1" t="s">
        <v>23</v>
      </c>
      <c r="J110" s="1" t="s">
        <v>17</v>
      </c>
      <c r="K110" s="26">
        <v>8</v>
      </c>
    </row>
    <row r="111" spans="1:11" x14ac:dyDescent="0.25">
      <c r="A111" s="25" t="s">
        <v>11</v>
      </c>
      <c r="B111" s="1" t="s">
        <v>19</v>
      </c>
      <c r="C111" s="2">
        <v>152633</v>
      </c>
      <c r="D111" s="2">
        <v>10369</v>
      </c>
      <c r="E111" s="1">
        <v>963</v>
      </c>
      <c r="F111" s="1">
        <v>2.94</v>
      </c>
      <c r="G111" s="1">
        <v>13507</v>
      </c>
      <c r="H111" s="1">
        <v>5.85</v>
      </c>
      <c r="I111" s="1" t="s">
        <v>22</v>
      </c>
      <c r="J111" s="1" t="s">
        <v>20</v>
      </c>
      <c r="K111" s="26">
        <v>2</v>
      </c>
    </row>
    <row r="112" spans="1:11" x14ac:dyDescent="0.25">
      <c r="A112" s="25" t="s">
        <v>15</v>
      </c>
      <c r="B112" s="1" t="s">
        <v>25</v>
      </c>
      <c r="C112" s="2">
        <v>98397</v>
      </c>
      <c r="D112" s="2">
        <v>10283</v>
      </c>
      <c r="E112" s="1">
        <v>528</v>
      </c>
      <c r="F112" s="1">
        <v>2.33</v>
      </c>
      <c r="G112" s="1">
        <v>18657</v>
      </c>
      <c r="H112" s="1">
        <v>15.15</v>
      </c>
      <c r="I112" s="1" t="s">
        <v>23</v>
      </c>
      <c r="J112" s="1" t="s">
        <v>20</v>
      </c>
      <c r="K112" s="26">
        <v>3</v>
      </c>
    </row>
    <row r="113" spans="1:11" x14ac:dyDescent="0.25">
      <c r="A113" s="25" t="s">
        <v>11</v>
      </c>
      <c r="B113" s="1" t="s">
        <v>25</v>
      </c>
      <c r="C113" s="2">
        <v>190225</v>
      </c>
      <c r="D113" s="2">
        <v>31573</v>
      </c>
      <c r="E113" s="1">
        <v>765</v>
      </c>
      <c r="F113" s="1">
        <v>4.17</v>
      </c>
      <c r="G113" s="1">
        <v>3047</v>
      </c>
      <c r="H113" s="1">
        <v>23.06</v>
      </c>
      <c r="I113" s="1" t="s">
        <v>22</v>
      </c>
      <c r="J113" s="1" t="s">
        <v>14</v>
      </c>
      <c r="K113" s="26">
        <v>2</v>
      </c>
    </row>
    <row r="114" spans="1:11" x14ac:dyDescent="0.25">
      <c r="A114" s="25" t="s">
        <v>15</v>
      </c>
      <c r="B114" s="1" t="s">
        <v>25</v>
      </c>
      <c r="C114" s="2">
        <v>43142</v>
      </c>
      <c r="D114" s="2">
        <v>14171</v>
      </c>
      <c r="E114" s="1">
        <v>834</v>
      </c>
      <c r="F114" s="1">
        <v>2.81</v>
      </c>
      <c r="G114" s="1">
        <v>3664</v>
      </c>
      <c r="H114" s="1">
        <v>1.86</v>
      </c>
      <c r="I114" s="1" t="s">
        <v>22</v>
      </c>
      <c r="J114" s="1" t="s">
        <v>14</v>
      </c>
      <c r="K114" s="26">
        <v>1</v>
      </c>
    </row>
    <row r="115" spans="1:11" x14ac:dyDescent="0.25">
      <c r="A115" s="25" t="s">
        <v>24</v>
      </c>
      <c r="B115" s="1" t="s">
        <v>25</v>
      </c>
      <c r="C115" s="2">
        <v>36916</v>
      </c>
      <c r="D115" s="2">
        <v>31933</v>
      </c>
      <c r="E115" s="1">
        <v>647</v>
      </c>
      <c r="F115" s="1">
        <v>1.73</v>
      </c>
      <c r="G115" s="1">
        <v>14914</v>
      </c>
      <c r="H115" s="1">
        <v>17.3</v>
      </c>
      <c r="I115" s="1" t="s">
        <v>16</v>
      </c>
      <c r="J115" s="1" t="s">
        <v>14</v>
      </c>
      <c r="K115" s="26">
        <v>2</v>
      </c>
    </row>
    <row r="116" spans="1:11" x14ac:dyDescent="0.25">
      <c r="A116" s="25" t="s">
        <v>11</v>
      </c>
      <c r="B116" s="1" t="s">
        <v>12</v>
      </c>
      <c r="C116" s="2">
        <v>74324</v>
      </c>
      <c r="D116" s="2">
        <v>6774</v>
      </c>
      <c r="E116" s="1">
        <v>21</v>
      </c>
      <c r="F116" s="1">
        <v>4.42</v>
      </c>
      <c r="G116" s="1">
        <v>14827</v>
      </c>
      <c r="H116" s="1">
        <v>3.58</v>
      </c>
      <c r="I116" s="1" t="s">
        <v>22</v>
      </c>
      <c r="J116" s="1" t="s">
        <v>17</v>
      </c>
      <c r="K116" s="26">
        <v>8</v>
      </c>
    </row>
    <row r="117" spans="1:11" x14ac:dyDescent="0.25">
      <c r="A117" s="25" t="s">
        <v>15</v>
      </c>
      <c r="B117" s="1" t="s">
        <v>25</v>
      </c>
      <c r="C117" s="2">
        <v>186037</v>
      </c>
      <c r="D117" s="2">
        <v>7519</v>
      </c>
      <c r="E117" s="1">
        <v>537</v>
      </c>
      <c r="F117" s="1">
        <v>4.53</v>
      </c>
      <c r="G117" s="1">
        <v>16076</v>
      </c>
      <c r="H117" s="1">
        <v>1.0900000000000001</v>
      </c>
      <c r="I117" s="1" t="s">
        <v>13</v>
      </c>
      <c r="J117" s="1" t="s">
        <v>17</v>
      </c>
      <c r="K117" s="26">
        <v>9</v>
      </c>
    </row>
    <row r="118" spans="1:11" x14ac:dyDescent="0.25">
      <c r="A118" s="25" t="s">
        <v>18</v>
      </c>
      <c r="B118" s="1" t="s">
        <v>21</v>
      </c>
      <c r="C118" s="2">
        <v>135932</v>
      </c>
      <c r="D118" s="2">
        <v>11983</v>
      </c>
      <c r="E118" s="1">
        <v>729</v>
      </c>
      <c r="F118" s="1">
        <v>2.87</v>
      </c>
      <c r="G118" s="1">
        <v>1446</v>
      </c>
      <c r="H118" s="1">
        <v>1.58</v>
      </c>
      <c r="I118" s="1" t="s">
        <v>13</v>
      </c>
      <c r="J118" s="1" t="s">
        <v>20</v>
      </c>
      <c r="K118" s="26">
        <v>2</v>
      </c>
    </row>
    <row r="119" spans="1:11" x14ac:dyDescent="0.25">
      <c r="A119" s="25" t="s">
        <v>24</v>
      </c>
      <c r="B119" s="1" t="s">
        <v>21</v>
      </c>
      <c r="C119" s="2">
        <v>145720</v>
      </c>
      <c r="D119" s="2">
        <v>31932</v>
      </c>
      <c r="E119" s="1">
        <v>564</v>
      </c>
      <c r="F119" s="1">
        <v>1.3</v>
      </c>
      <c r="G119" s="1">
        <v>15193</v>
      </c>
      <c r="H119" s="1">
        <v>25.02</v>
      </c>
      <c r="I119" s="1" t="s">
        <v>13</v>
      </c>
      <c r="J119" s="1" t="s">
        <v>17</v>
      </c>
      <c r="K119" s="26">
        <v>7</v>
      </c>
    </row>
    <row r="120" spans="1:11" x14ac:dyDescent="0.25">
      <c r="A120" s="25" t="s">
        <v>15</v>
      </c>
      <c r="B120" s="1" t="s">
        <v>12</v>
      </c>
      <c r="C120" s="2">
        <v>176205</v>
      </c>
      <c r="D120" s="2">
        <v>31798</v>
      </c>
      <c r="E120" s="1">
        <v>382</v>
      </c>
      <c r="F120" s="1">
        <v>2.5499999999999998</v>
      </c>
      <c r="G120" s="1">
        <v>17390</v>
      </c>
      <c r="H120" s="1">
        <v>3.54</v>
      </c>
      <c r="I120" s="1" t="s">
        <v>16</v>
      </c>
      <c r="J120" s="1" t="s">
        <v>20</v>
      </c>
      <c r="K120" s="26">
        <v>5</v>
      </c>
    </row>
    <row r="121" spans="1:11" x14ac:dyDescent="0.25">
      <c r="A121" s="25" t="s">
        <v>18</v>
      </c>
      <c r="B121" s="1" t="s">
        <v>25</v>
      </c>
      <c r="C121" s="2">
        <v>191749</v>
      </c>
      <c r="D121" s="2">
        <v>19133</v>
      </c>
      <c r="E121" s="1">
        <v>493</v>
      </c>
      <c r="F121" s="1">
        <v>4.21</v>
      </c>
      <c r="G121" s="1">
        <v>16040</v>
      </c>
      <c r="H121" s="1">
        <v>1.35</v>
      </c>
      <c r="I121" s="1" t="s">
        <v>23</v>
      </c>
      <c r="J121" s="1" t="s">
        <v>17</v>
      </c>
      <c r="K121" s="26">
        <v>3</v>
      </c>
    </row>
    <row r="122" spans="1:11" x14ac:dyDescent="0.25">
      <c r="A122" s="25" t="s">
        <v>15</v>
      </c>
      <c r="B122" s="1" t="s">
        <v>25</v>
      </c>
      <c r="C122" s="2">
        <v>106059</v>
      </c>
      <c r="D122" s="2">
        <v>15939</v>
      </c>
      <c r="E122" s="1">
        <v>982</v>
      </c>
      <c r="F122" s="1">
        <v>4.6100000000000003</v>
      </c>
      <c r="G122" s="1">
        <v>7219</v>
      </c>
      <c r="H122" s="1">
        <v>13.14</v>
      </c>
      <c r="I122" s="1" t="s">
        <v>26</v>
      </c>
      <c r="J122" s="1" t="s">
        <v>20</v>
      </c>
      <c r="K122" s="26">
        <v>9</v>
      </c>
    </row>
    <row r="123" spans="1:11" x14ac:dyDescent="0.25">
      <c r="A123" s="25" t="s">
        <v>18</v>
      </c>
      <c r="B123" s="1" t="s">
        <v>25</v>
      </c>
      <c r="C123" s="2">
        <v>108317</v>
      </c>
      <c r="D123" s="2">
        <v>1781</v>
      </c>
      <c r="E123" s="1">
        <v>656</v>
      </c>
      <c r="F123" s="1">
        <v>1.81</v>
      </c>
      <c r="G123" s="1">
        <v>8935</v>
      </c>
      <c r="H123" s="1">
        <v>25.32</v>
      </c>
      <c r="I123" s="1" t="s">
        <v>22</v>
      </c>
      <c r="J123" s="1" t="s">
        <v>14</v>
      </c>
      <c r="K123" s="26">
        <v>6</v>
      </c>
    </row>
    <row r="124" spans="1:11" x14ac:dyDescent="0.25">
      <c r="A124" s="25" t="s">
        <v>24</v>
      </c>
      <c r="B124" s="1" t="s">
        <v>19</v>
      </c>
      <c r="C124" s="2">
        <v>45046</v>
      </c>
      <c r="D124" s="2">
        <v>28624</v>
      </c>
      <c r="E124" s="1">
        <v>237</v>
      </c>
      <c r="F124" s="1">
        <v>1.27</v>
      </c>
      <c r="G124" s="1">
        <v>11850</v>
      </c>
      <c r="H124" s="1">
        <v>7.87</v>
      </c>
      <c r="I124" s="1" t="s">
        <v>26</v>
      </c>
      <c r="J124" s="1" t="s">
        <v>17</v>
      </c>
      <c r="K124" s="26">
        <v>1</v>
      </c>
    </row>
    <row r="125" spans="1:11" x14ac:dyDescent="0.25">
      <c r="A125" s="25" t="s">
        <v>11</v>
      </c>
      <c r="B125" s="1" t="s">
        <v>27</v>
      </c>
      <c r="C125" s="2">
        <v>188136</v>
      </c>
      <c r="D125" s="2">
        <v>7823</v>
      </c>
      <c r="E125" s="1">
        <v>632</v>
      </c>
      <c r="F125" s="1">
        <v>4.51</v>
      </c>
      <c r="G125" s="1">
        <v>4090</v>
      </c>
      <c r="H125" s="1">
        <v>12.65</v>
      </c>
      <c r="I125" s="1" t="s">
        <v>23</v>
      </c>
      <c r="J125" s="1" t="s">
        <v>20</v>
      </c>
      <c r="K125" s="26">
        <v>5</v>
      </c>
    </row>
    <row r="126" spans="1:11" x14ac:dyDescent="0.25">
      <c r="A126" s="25" t="s">
        <v>18</v>
      </c>
      <c r="B126" s="1" t="s">
        <v>19</v>
      </c>
      <c r="C126" s="2">
        <v>111459</v>
      </c>
      <c r="D126" s="2">
        <v>19489</v>
      </c>
      <c r="E126" s="1">
        <v>316</v>
      </c>
      <c r="F126" s="1">
        <v>2.56</v>
      </c>
      <c r="G126" s="1">
        <v>10564</v>
      </c>
      <c r="H126" s="1">
        <v>1.2</v>
      </c>
      <c r="I126" s="1" t="s">
        <v>23</v>
      </c>
      <c r="J126" s="1" t="s">
        <v>17</v>
      </c>
      <c r="K126" s="26">
        <v>7</v>
      </c>
    </row>
    <row r="127" spans="1:11" x14ac:dyDescent="0.25">
      <c r="A127" s="25" t="s">
        <v>15</v>
      </c>
      <c r="B127" s="1" t="s">
        <v>27</v>
      </c>
      <c r="C127" s="2">
        <v>55893</v>
      </c>
      <c r="D127" s="2">
        <v>40961</v>
      </c>
      <c r="E127" s="1">
        <v>466</v>
      </c>
      <c r="F127" s="1">
        <v>3.17</v>
      </c>
      <c r="G127" s="1">
        <v>18076</v>
      </c>
      <c r="H127" s="1">
        <v>13.47</v>
      </c>
      <c r="I127" s="1" t="s">
        <v>16</v>
      </c>
      <c r="J127" s="1" t="s">
        <v>14</v>
      </c>
      <c r="K127" s="26">
        <v>4</v>
      </c>
    </row>
    <row r="128" spans="1:11" x14ac:dyDescent="0.25">
      <c r="A128" s="25" t="s">
        <v>24</v>
      </c>
      <c r="B128" s="1" t="s">
        <v>25</v>
      </c>
      <c r="C128" s="2">
        <v>111520</v>
      </c>
      <c r="D128" s="2">
        <v>30118</v>
      </c>
      <c r="E128" s="1">
        <v>169</v>
      </c>
      <c r="F128" s="1">
        <v>4.87</v>
      </c>
      <c r="G128" s="1">
        <v>18348</v>
      </c>
      <c r="H128" s="1">
        <v>17.329999999999998</v>
      </c>
      <c r="I128" s="1" t="s">
        <v>13</v>
      </c>
      <c r="J128" s="1" t="s">
        <v>20</v>
      </c>
      <c r="K128" s="26">
        <v>8</v>
      </c>
    </row>
    <row r="129" spans="1:11" x14ac:dyDescent="0.25">
      <c r="A129" s="25" t="s">
        <v>18</v>
      </c>
      <c r="B129" s="1" t="s">
        <v>25</v>
      </c>
      <c r="C129" s="2">
        <v>135818</v>
      </c>
      <c r="D129" s="2">
        <v>35881</v>
      </c>
      <c r="E129" s="1">
        <v>340</v>
      </c>
      <c r="F129" s="1">
        <v>1.27</v>
      </c>
      <c r="G129" s="1">
        <v>890</v>
      </c>
      <c r="H129" s="1">
        <v>17.13</v>
      </c>
      <c r="I129" s="1" t="s">
        <v>13</v>
      </c>
      <c r="J129" s="1" t="s">
        <v>17</v>
      </c>
      <c r="K129" s="26">
        <v>5</v>
      </c>
    </row>
    <row r="130" spans="1:11" x14ac:dyDescent="0.25">
      <c r="A130" s="25" t="s">
        <v>15</v>
      </c>
      <c r="B130" s="1" t="s">
        <v>19</v>
      </c>
      <c r="C130" s="2">
        <v>71272</v>
      </c>
      <c r="D130" s="2">
        <v>17280</v>
      </c>
      <c r="E130" s="1">
        <v>785</v>
      </c>
      <c r="F130" s="1">
        <v>3.59</v>
      </c>
      <c r="G130" s="1">
        <v>13168</v>
      </c>
      <c r="H130" s="1">
        <v>9.9700000000000006</v>
      </c>
      <c r="I130" s="1" t="s">
        <v>23</v>
      </c>
      <c r="J130" s="1" t="s">
        <v>17</v>
      </c>
      <c r="K130" s="26">
        <v>9</v>
      </c>
    </row>
    <row r="131" spans="1:11" x14ac:dyDescent="0.25">
      <c r="A131" s="25" t="s">
        <v>15</v>
      </c>
      <c r="B131" s="1" t="s">
        <v>19</v>
      </c>
      <c r="C131" s="2">
        <v>77649</v>
      </c>
      <c r="D131" s="2">
        <v>23263</v>
      </c>
      <c r="E131" s="1">
        <v>234</v>
      </c>
      <c r="F131" s="1">
        <v>1.3</v>
      </c>
      <c r="G131" s="1">
        <v>12069</v>
      </c>
      <c r="H131" s="1">
        <v>9.4700000000000006</v>
      </c>
      <c r="I131" s="1" t="s">
        <v>16</v>
      </c>
      <c r="J131" s="1" t="s">
        <v>14</v>
      </c>
      <c r="K131" s="26">
        <v>9</v>
      </c>
    </row>
    <row r="132" spans="1:11" x14ac:dyDescent="0.25">
      <c r="A132" s="25" t="s">
        <v>15</v>
      </c>
      <c r="B132" s="1" t="s">
        <v>27</v>
      </c>
      <c r="C132" s="2">
        <v>74674</v>
      </c>
      <c r="D132" s="2">
        <v>14565</v>
      </c>
      <c r="E132" s="1">
        <v>992</v>
      </c>
      <c r="F132" s="1">
        <v>2.5</v>
      </c>
      <c r="G132" s="1">
        <v>13529</v>
      </c>
      <c r="H132" s="1">
        <v>3.2</v>
      </c>
      <c r="I132" s="1" t="s">
        <v>16</v>
      </c>
      <c r="J132" s="1" t="s">
        <v>14</v>
      </c>
      <c r="K132" s="26">
        <v>9</v>
      </c>
    </row>
    <row r="133" spans="1:11" x14ac:dyDescent="0.25">
      <c r="A133" s="25" t="s">
        <v>18</v>
      </c>
      <c r="B133" s="1" t="s">
        <v>21</v>
      </c>
      <c r="C133" s="2">
        <v>154832</v>
      </c>
      <c r="D133" s="2">
        <v>21354</v>
      </c>
      <c r="E133" s="1">
        <v>738</v>
      </c>
      <c r="F133" s="1">
        <v>4.22</v>
      </c>
      <c r="G133" s="1">
        <v>13607</v>
      </c>
      <c r="H133" s="1">
        <v>11</v>
      </c>
      <c r="I133" s="1" t="s">
        <v>22</v>
      </c>
      <c r="J133" s="1" t="s">
        <v>20</v>
      </c>
      <c r="K133" s="26">
        <v>1</v>
      </c>
    </row>
    <row r="134" spans="1:11" x14ac:dyDescent="0.25">
      <c r="A134" s="25" t="s">
        <v>18</v>
      </c>
      <c r="B134" s="1" t="s">
        <v>27</v>
      </c>
      <c r="C134" s="2">
        <v>162999</v>
      </c>
      <c r="D134" s="2">
        <v>43951</v>
      </c>
      <c r="E134" s="1">
        <v>513</v>
      </c>
      <c r="F134" s="1">
        <v>2.73</v>
      </c>
      <c r="G134" s="1">
        <v>3060</v>
      </c>
      <c r="H134" s="1">
        <v>2.98</v>
      </c>
      <c r="I134" s="1" t="s">
        <v>13</v>
      </c>
      <c r="J134" s="1" t="s">
        <v>17</v>
      </c>
      <c r="K134" s="26">
        <v>2</v>
      </c>
    </row>
    <row r="135" spans="1:11" x14ac:dyDescent="0.25">
      <c r="A135" s="25" t="s">
        <v>18</v>
      </c>
      <c r="B135" s="1" t="s">
        <v>19</v>
      </c>
      <c r="C135" s="2">
        <v>96475</v>
      </c>
      <c r="D135" s="2">
        <v>26643</v>
      </c>
      <c r="E135" s="1">
        <v>465</v>
      </c>
      <c r="F135" s="1">
        <v>4.99</v>
      </c>
      <c r="G135" s="1">
        <v>6367</v>
      </c>
      <c r="H135" s="1">
        <v>23</v>
      </c>
      <c r="I135" s="1" t="s">
        <v>23</v>
      </c>
      <c r="J135" s="1" t="s">
        <v>17</v>
      </c>
      <c r="K135" s="26">
        <v>3</v>
      </c>
    </row>
    <row r="136" spans="1:11" x14ac:dyDescent="0.25">
      <c r="A136" s="25" t="s">
        <v>11</v>
      </c>
      <c r="B136" s="1" t="s">
        <v>19</v>
      </c>
      <c r="C136" s="2">
        <v>71367</v>
      </c>
      <c r="D136" s="2">
        <v>24648</v>
      </c>
      <c r="E136" s="1">
        <v>54</v>
      </c>
      <c r="F136" s="1">
        <v>3.24</v>
      </c>
      <c r="G136" s="1">
        <v>15784</v>
      </c>
      <c r="H136" s="1">
        <v>28.99</v>
      </c>
      <c r="I136" s="1" t="s">
        <v>26</v>
      </c>
      <c r="J136" s="1" t="s">
        <v>14</v>
      </c>
      <c r="K136" s="26">
        <v>4</v>
      </c>
    </row>
    <row r="137" spans="1:11" x14ac:dyDescent="0.25">
      <c r="A137" s="25" t="s">
        <v>18</v>
      </c>
      <c r="B137" s="1" t="s">
        <v>12</v>
      </c>
      <c r="C137" s="2">
        <v>153660</v>
      </c>
      <c r="D137" s="2">
        <v>42971</v>
      </c>
      <c r="E137" s="1">
        <v>223</v>
      </c>
      <c r="F137" s="1">
        <v>2.2799999999999998</v>
      </c>
      <c r="G137" s="1">
        <v>1711</v>
      </c>
      <c r="H137" s="1">
        <v>29.1</v>
      </c>
      <c r="I137" s="1" t="s">
        <v>13</v>
      </c>
      <c r="J137" s="1" t="s">
        <v>14</v>
      </c>
      <c r="K137" s="26">
        <v>9</v>
      </c>
    </row>
    <row r="138" spans="1:11" x14ac:dyDescent="0.25">
      <c r="A138" s="25" t="s">
        <v>18</v>
      </c>
      <c r="B138" s="1" t="s">
        <v>19</v>
      </c>
      <c r="C138" s="2">
        <v>131750</v>
      </c>
      <c r="D138" s="2">
        <v>19658</v>
      </c>
      <c r="E138" s="1">
        <v>68</v>
      </c>
      <c r="F138" s="1">
        <v>1.88</v>
      </c>
      <c r="G138" s="1">
        <v>9621</v>
      </c>
      <c r="H138" s="1">
        <v>25.95</v>
      </c>
      <c r="I138" s="1" t="s">
        <v>22</v>
      </c>
      <c r="J138" s="1" t="s">
        <v>20</v>
      </c>
      <c r="K138" s="26">
        <v>6</v>
      </c>
    </row>
    <row r="139" spans="1:11" x14ac:dyDescent="0.25">
      <c r="A139" s="25" t="s">
        <v>18</v>
      </c>
      <c r="B139" s="1" t="s">
        <v>12</v>
      </c>
      <c r="C139" s="2">
        <v>128154</v>
      </c>
      <c r="D139" s="2">
        <v>22253</v>
      </c>
      <c r="E139" s="1">
        <v>653</v>
      </c>
      <c r="F139" s="1">
        <v>2.4</v>
      </c>
      <c r="G139" s="1">
        <v>2039</v>
      </c>
      <c r="H139" s="1">
        <v>18.02</v>
      </c>
      <c r="I139" s="1" t="s">
        <v>16</v>
      </c>
      <c r="J139" s="1" t="s">
        <v>17</v>
      </c>
      <c r="K139" s="26">
        <v>1</v>
      </c>
    </row>
    <row r="140" spans="1:11" x14ac:dyDescent="0.25">
      <c r="A140" s="25" t="s">
        <v>11</v>
      </c>
      <c r="B140" s="1" t="s">
        <v>21</v>
      </c>
      <c r="C140" s="2">
        <v>193305</v>
      </c>
      <c r="D140" s="2">
        <v>49563</v>
      </c>
      <c r="E140" s="1">
        <v>625</v>
      </c>
      <c r="F140" s="1">
        <v>2.4900000000000002</v>
      </c>
      <c r="G140" s="1">
        <v>17527</v>
      </c>
      <c r="H140" s="1">
        <v>21.03</v>
      </c>
      <c r="I140" s="1" t="s">
        <v>23</v>
      </c>
      <c r="J140" s="1" t="s">
        <v>17</v>
      </c>
      <c r="K140" s="26">
        <v>9</v>
      </c>
    </row>
    <row r="141" spans="1:11" x14ac:dyDescent="0.25">
      <c r="A141" s="25" t="s">
        <v>18</v>
      </c>
      <c r="B141" s="1" t="s">
        <v>27</v>
      </c>
      <c r="C141" s="2">
        <v>54738</v>
      </c>
      <c r="D141" s="2">
        <v>27390</v>
      </c>
      <c r="E141" s="1">
        <v>204</v>
      </c>
      <c r="F141" s="1">
        <v>1.27</v>
      </c>
      <c r="G141" s="1">
        <v>9193</v>
      </c>
      <c r="H141" s="1">
        <v>8.56</v>
      </c>
      <c r="I141" s="1" t="s">
        <v>13</v>
      </c>
      <c r="J141" s="1" t="s">
        <v>20</v>
      </c>
      <c r="K141" s="26">
        <v>6</v>
      </c>
    </row>
    <row r="142" spans="1:11" x14ac:dyDescent="0.25">
      <c r="A142" s="25" t="s">
        <v>15</v>
      </c>
      <c r="B142" s="1" t="s">
        <v>27</v>
      </c>
      <c r="C142" s="2">
        <v>43397</v>
      </c>
      <c r="D142" s="2">
        <v>24128</v>
      </c>
      <c r="E142" s="1">
        <v>934</v>
      </c>
      <c r="F142" s="1">
        <v>2.48</v>
      </c>
      <c r="G142" s="1">
        <v>9421</v>
      </c>
      <c r="H142" s="1">
        <v>18.920000000000002</v>
      </c>
      <c r="I142" s="1" t="s">
        <v>26</v>
      </c>
      <c r="J142" s="1" t="s">
        <v>20</v>
      </c>
      <c r="K142" s="26">
        <v>4</v>
      </c>
    </row>
    <row r="143" spans="1:11" x14ac:dyDescent="0.25">
      <c r="A143" s="25" t="s">
        <v>18</v>
      </c>
      <c r="B143" s="1" t="s">
        <v>12</v>
      </c>
      <c r="C143" s="2">
        <v>92189</v>
      </c>
      <c r="D143" s="2">
        <v>14489</v>
      </c>
      <c r="E143" s="1">
        <v>498</v>
      </c>
      <c r="F143" s="1">
        <v>2.86</v>
      </c>
      <c r="G143" s="1">
        <v>18167</v>
      </c>
      <c r="H143" s="1">
        <v>13.67</v>
      </c>
      <c r="I143" s="1" t="s">
        <v>22</v>
      </c>
      <c r="J143" s="1" t="s">
        <v>14</v>
      </c>
      <c r="K143" s="26">
        <v>4</v>
      </c>
    </row>
    <row r="144" spans="1:11" x14ac:dyDescent="0.25">
      <c r="A144" s="25" t="s">
        <v>15</v>
      </c>
      <c r="B144" s="1" t="s">
        <v>27</v>
      </c>
      <c r="C144" s="2">
        <v>86367</v>
      </c>
      <c r="D144" s="2">
        <v>39314</v>
      </c>
      <c r="E144" s="1">
        <v>166</v>
      </c>
      <c r="F144" s="1">
        <v>3.89</v>
      </c>
      <c r="G144" s="1">
        <v>10810</v>
      </c>
      <c r="H144" s="1">
        <v>14.46</v>
      </c>
      <c r="I144" s="1" t="s">
        <v>22</v>
      </c>
      <c r="J144" s="1" t="s">
        <v>14</v>
      </c>
      <c r="K144" s="26">
        <v>3</v>
      </c>
    </row>
    <row r="145" spans="1:11" x14ac:dyDescent="0.25">
      <c r="A145" s="25" t="s">
        <v>15</v>
      </c>
      <c r="B145" s="1" t="s">
        <v>19</v>
      </c>
      <c r="C145" s="2">
        <v>130585</v>
      </c>
      <c r="D145" s="2">
        <v>33658</v>
      </c>
      <c r="E145" s="1">
        <v>619</v>
      </c>
      <c r="F145" s="1">
        <v>3.63</v>
      </c>
      <c r="G145" s="1">
        <v>13244</v>
      </c>
      <c r="H145" s="1">
        <v>22.73</v>
      </c>
      <c r="I145" s="1" t="s">
        <v>13</v>
      </c>
      <c r="J145" s="1" t="s">
        <v>20</v>
      </c>
      <c r="K145" s="26">
        <v>7</v>
      </c>
    </row>
    <row r="146" spans="1:11" x14ac:dyDescent="0.25">
      <c r="A146" s="25" t="s">
        <v>15</v>
      </c>
      <c r="B146" s="1" t="s">
        <v>25</v>
      </c>
      <c r="C146" s="2">
        <v>86619</v>
      </c>
      <c r="D146" s="2">
        <v>7852</v>
      </c>
      <c r="E146" s="1">
        <v>235</v>
      </c>
      <c r="F146" s="1">
        <v>3.84</v>
      </c>
      <c r="G146" s="1">
        <v>4886</v>
      </c>
      <c r="H146" s="1">
        <v>8.4600000000000009</v>
      </c>
      <c r="I146" s="1" t="s">
        <v>26</v>
      </c>
      <c r="J146" s="1" t="s">
        <v>20</v>
      </c>
      <c r="K146" s="26">
        <v>3</v>
      </c>
    </row>
    <row r="147" spans="1:11" x14ac:dyDescent="0.25">
      <c r="A147" s="25" t="s">
        <v>11</v>
      </c>
      <c r="B147" s="1" t="s">
        <v>12</v>
      </c>
      <c r="C147" s="2">
        <v>121453</v>
      </c>
      <c r="D147" s="2">
        <v>30450</v>
      </c>
      <c r="E147" s="1">
        <v>421</v>
      </c>
      <c r="F147" s="1">
        <v>1.03</v>
      </c>
      <c r="G147" s="1">
        <v>17803</v>
      </c>
      <c r="H147" s="1">
        <v>9.5399999999999991</v>
      </c>
      <c r="I147" s="1" t="s">
        <v>22</v>
      </c>
      <c r="J147" s="1" t="s">
        <v>17</v>
      </c>
      <c r="K147" s="26">
        <v>2</v>
      </c>
    </row>
    <row r="148" spans="1:11" x14ac:dyDescent="0.25">
      <c r="A148" s="25" t="s">
        <v>11</v>
      </c>
      <c r="B148" s="1" t="s">
        <v>27</v>
      </c>
      <c r="C148" s="2">
        <v>29816</v>
      </c>
      <c r="D148" s="2">
        <v>3551</v>
      </c>
      <c r="E148" s="1">
        <v>214</v>
      </c>
      <c r="F148" s="1">
        <v>1.87</v>
      </c>
      <c r="G148" s="1">
        <v>12742</v>
      </c>
      <c r="H148" s="1">
        <v>27.74</v>
      </c>
      <c r="I148" s="1" t="s">
        <v>23</v>
      </c>
      <c r="J148" s="1" t="s">
        <v>20</v>
      </c>
      <c r="K148" s="26">
        <v>8</v>
      </c>
    </row>
    <row r="149" spans="1:11" x14ac:dyDescent="0.25">
      <c r="A149" s="25" t="s">
        <v>11</v>
      </c>
      <c r="B149" s="1" t="s">
        <v>12</v>
      </c>
      <c r="C149" s="2">
        <v>183312</v>
      </c>
      <c r="D149" s="2">
        <v>7411</v>
      </c>
      <c r="E149" s="1">
        <v>88</v>
      </c>
      <c r="F149" s="1">
        <v>3.65</v>
      </c>
      <c r="G149" s="1">
        <v>19223</v>
      </c>
      <c r="H149" s="1">
        <v>1.69</v>
      </c>
      <c r="I149" s="1" t="s">
        <v>22</v>
      </c>
      <c r="J149" s="1" t="s">
        <v>20</v>
      </c>
      <c r="K149" s="26">
        <v>4</v>
      </c>
    </row>
    <row r="150" spans="1:11" x14ac:dyDescent="0.25">
      <c r="A150" s="25" t="s">
        <v>18</v>
      </c>
      <c r="B150" s="1" t="s">
        <v>12</v>
      </c>
      <c r="C150" s="2">
        <v>147348</v>
      </c>
      <c r="D150" s="2">
        <v>34243</v>
      </c>
      <c r="E150" s="1">
        <v>133</v>
      </c>
      <c r="F150" s="1">
        <v>2.94</v>
      </c>
      <c r="G150" s="1">
        <v>14757</v>
      </c>
      <c r="H150" s="1">
        <v>14.57</v>
      </c>
      <c r="I150" s="1" t="s">
        <v>26</v>
      </c>
      <c r="J150" s="1" t="s">
        <v>17</v>
      </c>
      <c r="K150" s="26">
        <v>8</v>
      </c>
    </row>
    <row r="151" spans="1:11" x14ac:dyDescent="0.25">
      <c r="A151" s="25" t="s">
        <v>15</v>
      </c>
      <c r="B151" s="1" t="s">
        <v>25</v>
      </c>
      <c r="C151" s="2">
        <v>89530</v>
      </c>
      <c r="D151" s="2">
        <v>22800</v>
      </c>
      <c r="E151" s="1">
        <v>480</v>
      </c>
      <c r="F151" s="1">
        <v>1.02</v>
      </c>
      <c r="G151" s="1">
        <v>9447</v>
      </c>
      <c r="H151" s="1">
        <v>27.38</v>
      </c>
      <c r="I151" s="1" t="s">
        <v>16</v>
      </c>
      <c r="J151" s="1" t="s">
        <v>20</v>
      </c>
      <c r="K151" s="26">
        <v>1</v>
      </c>
    </row>
    <row r="152" spans="1:11" x14ac:dyDescent="0.25">
      <c r="A152" s="25" t="s">
        <v>11</v>
      </c>
      <c r="B152" s="1" t="s">
        <v>19</v>
      </c>
      <c r="C152" s="2">
        <v>164571</v>
      </c>
      <c r="D152" s="2">
        <v>11403</v>
      </c>
      <c r="E152" s="1">
        <v>949</v>
      </c>
      <c r="F152" s="1">
        <v>4.22</v>
      </c>
      <c r="G152" s="1">
        <v>14446</v>
      </c>
      <c r="H152" s="1">
        <v>18.309999999999999</v>
      </c>
      <c r="I152" s="1" t="s">
        <v>16</v>
      </c>
      <c r="J152" s="1" t="s">
        <v>14</v>
      </c>
      <c r="K152" s="26">
        <v>5</v>
      </c>
    </row>
    <row r="153" spans="1:11" x14ac:dyDescent="0.25">
      <c r="A153" s="25" t="s">
        <v>11</v>
      </c>
      <c r="B153" s="1" t="s">
        <v>12</v>
      </c>
      <c r="C153" s="2">
        <v>118856</v>
      </c>
      <c r="D153" s="2">
        <v>8239</v>
      </c>
      <c r="E153" s="1">
        <v>227</v>
      </c>
      <c r="F153" s="1">
        <v>4.09</v>
      </c>
      <c r="G153" s="1">
        <v>6430</v>
      </c>
      <c r="H153" s="1">
        <v>16.39</v>
      </c>
      <c r="I153" s="1" t="s">
        <v>13</v>
      </c>
      <c r="J153" s="1" t="s">
        <v>14</v>
      </c>
      <c r="K153" s="26">
        <v>9</v>
      </c>
    </row>
    <row r="154" spans="1:11" x14ac:dyDescent="0.25">
      <c r="A154" s="25" t="s">
        <v>18</v>
      </c>
      <c r="B154" s="1" t="s">
        <v>27</v>
      </c>
      <c r="C154" s="2">
        <v>81635</v>
      </c>
      <c r="D154" s="2">
        <v>7710</v>
      </c>
      <c r="E154" s="1">
        <v>525</v>
      </c>
      <c r="F154" s="1">
        <v>3.19</v>
      </c>
      <c r="G154" s="1">
        <v>5902</v>
      </c>
      <c r="H154" s="1">
        <v>7.49</v>
      </c>
      <c r="I154" s="1" t="s">
        <v>26</v>
      </c>
      <c r="J154" s="1" t="s">
        <v>17</v>
      </c>
      <c r="K154" s="26">
        <v>1</v>
      </c>
    </row>
    <row r="155" spans="1:11" x14ac:dyDescent="0.25">
      <c r="A155" s="25" t="s">
        <v>11</v>
      </c>
      <c r="B155" s="1" t="s">
        <v>21</v>
      </c>
      <c r="C155" s="2">
        <v>117803</v>
      </c>
      <c r="D155" s="2">
        <v>22384</v>
      </c>
      <c r="E155" s="1">
        <v>611</v>
      </c>
      <c r="F155" s="1">
        <v>1.27</v>
      </c>
      <c r="G155" s="1">
        <v>16517</v>
      </c>
      <c r="H155" s="1">
        <v>10.3</v>
      </c>
      <c r="I155" s="1" t="s">
        <v>22</v>
      </c>
      <c r="J155" s="1" t="s">
        <v>20</v>
      </c>
      <c r="K155" s="26">
        <v>4</v>
      </c>
    </row>
    <row r="156" spans="1:11" x14ac:dyDescent="0.25">
      <c r="A156" s="25" t="s">
        <v>18</v>
      </c>
      <c r="B156" s="1" t="s">
        <v>12</v>
      </c>
      <c r="C156" s="2">
        <v>45946</v>
      </c>
      <c r="D156" s="2">
        <v>22038</v>
      </c>
      <c r="E156" s="1">
        <v>113</v>
      </c>
      <c r="F156" s="1">
        <v>4.07</v>
      </c>
      <c r="G156" s="1">
        <v>1007</v>
      </c>
      <c r="H156" s="1">
        <v>25.56</v>
      </c>
      <c r="I156" s="1" t="s">
        <v>22</v>
      </c>
      <c r="J156" s="1" t="s">
        <v>14</v>
      </c>
      <c r="K156" s="26">
        <v>6</v>
      </c>
    </row>
    <row r="157" spans="1:11" x14ac:dyDescent="0.25">
      <c r="A157" s="25" t="s">
        <v>24</v>
      </c>
      <c r="B157" s="1" t="s">
        <v>12</v>
      </c>
      <c r="C157" s="2">
        <v>65204</v>
      </c>
      <c r="D157" s="2">
        <v>41846</v>
      </c>
      <c r="E157" s="1">
        <v>402</v>
      </c>
      <c r="F157" s="1">
        <v>3.33</v>
      </c>
      <c r="G157" s="1">
        <v>1936</v>
      </c>
      <c r="H157" s="1">
        <v>16.78</v>
      </c>
      <c r="I157" s="1" t="s">
        <v>16</v>
      </c>
      <c r="J157" s="1" t="s">
        <v>14</v>
      </c>
      <c r="K157" s="26">
        <v>8</v>
      </c>
    </row>
    <row r="158" spans="1:11" x14ac:dyDescent="0.25">
      <c r="A158" s="25" t="s">
        <v>11</v>
      </c>
      <c r="B158" s="1" t="s">
        <v>25</v>
      </c>
      <c r="C158" s="2">
        <v>192958</v>
      </c>
      <c r="D158" s="2">
        <v>23447</v>
      </c>
      <c r="E158" s="1">
        <v>640</v>
      </c>
      <c r="F158" s="1">
        <v>4.13</v>
      </c>
      <c r="G158" s="1">
        <v>12118</v>
      </c>
      <c r="H158" s="1">
        <v>15.44</v>
      </c>
      <c r="I158" s="1" t="s">
        <v>16</v>
      </c>
      <c r="J158" s="1" t="s">
        <v>14</v>
      </c>
      <c r="K158" s="26">
        <v>3</v>
      </c>
    </row>
    <row r="159" spans="1:11" x14ac:dyDescent="0.25">
      <c r="A159" s="25" t="s">
        <v>24</v>
      </c>
      <c r="B159" s="1" t="s">
        <v>19</v>
      </c>
      <c r="C159" s="2">
        <v>25563</v>
      </c>
      <c r="D159" s="2">
        <v>3285</v>
      </c>
      <c r="E159" s="1">
        <v>654</v>
      </c>
      <c r="F159" s="1">
        <v>4.01</v>
      </c>
      <c r="G159" s="1">
        <v>9250</v>
      </c>
      <c r="H159" s="1">
        <v>2.99</v>
      </c>
      <c r="I159" s="1" t="s">
        <v>23</v>
      </c>
      <c r="J159" s="1" t="s">
        <v>14</v>
      </c>
      <c r="K159" s="26">
        <v>5</v>
      </c>
    </row>
    <row r="160" spans="1:11" x14ac:dyDescent="0.25">
      <c r="A160" s="25" t="s">
        <v>18</v>
      </c>
      <c r="B160" s="1" t="s">
        <v>21</v>
      </c>
      <c r="C160" s="2">
        <v>102324</v>
      </c>
      <c r="D160" s="2">
        <v>38991</v>
      </c>
      <c r="E160" s="1">
        <v>833</v>
      </c>
      <c r="F160" s="1">
        <v>4.21</v>
      </c>
      <c r="G160" s="1">
        <v>16622</v>
      </c>
      <c r="H160" s="1">
        <v>0.48</v>
      </c>
      <c r="I160" s="1" t="s">
        <v>16</v>
      </c>
      <c r="J160" s="1" t="s">
        <v>20</v>
      </c>
      <c r="K160" s="26">
        <v>7</v>
      </c>
    </row>
    <row r="161" spans="1:11" x14ac:dyDescent="0.25">
      <c r="A161" s="25" t="s">
        <v>15</v>
      </c>
      <c r="B161" s="1" t="s">
        <v>27</v>
      </c>
      <c r="C161" s="2">
        <v>19847</v>
      </c>
      <c r="D161" s="2">
        <v>14521</v>
      </c>
      <c r="E161" s="1">
        <v>617</v>
      </c>
      <c r="F161" s="1">
        <v>3.07</v>
      </c>
      <c r="G161" s="1">
        <v>7854</v>
      </c>
      <c r="H161" s="1">
        <v>28.91</v>
      </c>
      <c r="I161" s="1" t="s">
        <v>23</v>
      </c>
      <c r="J161" s="1" t="s">
        <v>20</v>
      </c>
      <c r="K161" s="26">
        <v>1</v>
      </c>
    </row>
    <row r="162" spans="1:11" x14ac:dyDescent="0.25">
      <c r="A162" s="25" t="s">
        <v>11</v>
      </c>
      <c r="B162" s="1" t="s">
        <v>21</v>
      </c>
      <c r="C162" s="2">
        <v>36155</v>
      </c>
      <c r="D162" s="2">
        <v>48657</v>
      </c>
      <c r="E162" s="1">
        <v>989</v>
      </c>
      <c r="F162" s="1">
        <v>1.56</v>
      </c>
      <c r="G162" s="1">
        <v>11794</v>
      </c>
      <c r="H162" s="1">
        <v>11.31</v>
      </c>
      <c r="I162" s="1" t="s">
        <v>22</v>
      </c>
      <c r="J162" s="1" t="s">
        <v>20</v>
      </c>
      <c r="K162" s="26">
        <v>7</v>
      </c>
    </row>
    <row r="163" spans="1:11" x14ac:dyDescent="0.25">
      <c r="A163" s="25" t="s">
        <v>18</v>
      </c>
      <c r="B163" s="1" t="s">
        <v>27</v>
      </c>
      <c r="C163" s="2">
        <v>89671</v>
      </c>
      <c r="D163" s="2">
        <v>7971</v>
      </c>
      <c r="E163" s="1">
        <v>443</v>
      </c>
      <c r="F163" s="1">
        <v>3.68</v>
      </c>
      <c r="G163" s="1">
        <v>14340</v>
      </c>
      <c r="H163" s="1">
        <v>18.100000000000001</v>
      </c>
      <c r="I163" s="1" t="s">
        <v>23</v>
      </c>
      <c r="J163" s="1" t="s">
        <v>20</v>
      </c>
      <c r="K163" s="26">
        <v>8</v>
      </c>
    </row>
    <row r="164" spans="1:11" x14ac:dyDescent="0.25">
      <c r="A164" s="25" t="s">
        <v>15</v>
      </c>
      <c r="B164" s="1" t="s">
        <v>19</v>
      </c>
      <c r="C164" s="2">
        <v>126891</v>
      </c>
      <c r="D164" s="2">
        <v>30139</v>
      </c>
      <c r="E164" s="1">
        <v>340</v>
      </c>
      <c r="F164" s="1">
        <v>3.48</v>
      </c>
      <c r="G164" s="1">
        <v>4899</v>
      </c>
      <c r="H164" s="1">
        <v>2.39</v>
      </c>
      <c r="I164" s="1" t="s">
        <v>23</v>
      </c>
      <c r="J164" s="1" t="s">
        <v>14</v>
      </c>
      <c r="K164" s="26">
        <v>8</v>
      </c>
    </row>
    <row r="165" spans="1:11" x14ac:dyDescent="0.25">
      <c r="A165" s="25" t="s">
        <v>15</v>
      </c>
      <c r="B165" s="1" t="s">
        <v>27</v>
      </c>
      <c r="C165" s="2">
        <v>93310</v>
      </c>
      <c r="D165" s="2">
        <v>20909</v>
      </c>
      <c r="E165" s="1">
        <v>152</v>
      </c>
      <c r="F165" s="1">
        <v>3.97</v>
      </c>
      <c r="G165" s="1">
        <v>5537</v>
      </c>
      <c r="H165" s="1">
        <v>20.49</v>
      </c>
      <c r="I165" s="1" t="s">
        <v>13</v>
      </c>
      <c r="J165" s="1" t="s">
        <v>17</v>
      </c>
      <c r="K165" s="26">
        <v>9</v>
      </c>
    </row>
    <row r="166" spans="1:11" x14ac:dyDescent="0.25">
      <c r="A166" s="25" t="s">
        <v>24</v>
      </c>
      <c r="B166" s="1" t="s">
        <v>25</v>
      </c>
      <c r="C166" s="2">
        <v>159381</v>
      </c>
      <c r="D166" s="2">
        <v>12531</v>
      </c>
      <c r="E166" s="1">
        <v>809</v>
      </c>
      <c r="F166" s="1">
        <v>1.68</v>
      </c>
      <c r="G166" s="1">
        <v>16348</v>
      </c>
      <c r="H166" s="1">
        <v>27.98</v>
      </c>
      <c r="I166" s="1" t="s">
        <v>16</v>
      </c>
      <c r="J166" s="1" t="s">
        <v>17</v>
      </c>
      <c r="K166" s="26">
        <v>6</v>
      </c>
    </row>
    <row r="167" spans="1:11" x14ac:dyDescent="0.25">
      <c r="A167" s="25" t="s">
        <v>18</v>
      </c>
      <c r="B167" s="1" t="s">
        <v>25</v>
      </c>
      <c r="C167" s="2">
        <v>141691</v>
      </c>
      <c r="D167" s="2">
        <v>15721</v>
      </c>
      <c r="E167" s="1">
        <v>549</v>
      </c>
      <c r="F167" s="1">
        <v>1.78</v>
      </c>
      <c r="G167" s="1">
        <v>4215</v>
      </c>
      <c r="H167" s="1">
        <v>17.27</v>
      </c>
      <c r="I167" s="1" t="s">
        <v>23</v>
      </c>
      <c r="J167" s="1" t="s">
        <v>14</v>
      </c>
      <c r="K167" s="26">
        <v>6</v>
      </c>
    </row>
    <row r="168" spans="1:11" x14ac:dyDescent="0.25">
      <c r="A168" s="25" t="s">
        <v>15</v>
      </c>
      <c r="B168" s="1" t="s">
        <v>25</v>
      </c>
      <c r="C168" s="2">
        <v>191180</v>
      </c>
      <c r="D168" s="2">
        <v>20206</v>
      </c>
      <c r="E168" s="1">
        <v>287</v>
      </c>
      <c r="F168" s="1">
        <v>4.5599999999999996</v>
      </c>
      <c r="G168" s="1">
        <v>15377</v>
      </c>
      <c r="H168" s="1">
        <v>3.78</v>
      </c>
      <c r="I168" s="1" t="s">
        <v>22</v>
      </c>
      <c r="J168" s="1" t="s">
        <v>14</v>
      </c>
      <c r="K168" s="26">
        <v>2</v>
      </c>
    </row>
    <row r="169" spans="1:11" x14ac:dyDescent="0.25">
      <c r="A169" s="25" t="s">
        <v>11</v>
      </c>
      <c r="B169" s="1" t="s">
        <v>25</v>
      </c>
      <c r="C169" s="2">
        <v>44707</v>
      </c>
      <c r="D169" s="2">
        <v>38711</v>
      </c>
      <c r="E169" s="1">
        <v>242</v>
      </c>
      <c r="F169" s="1">
        <v>4</v>
      </c>
      <c r="G169" s="1">
        <v>8337</v>
      </c>
      <c r="H169" s="1">
        <v>17.45</v>
      </c>
      <c r="I169" s="1" t="s">
        <v>26</v>
      </c>
      <c r="J169" s="1" t="s">
        <v>17</v>
      </c>
      <c r="K169" s="26">
        <v>3</v>
      </c>
    </row>
    <row r="170" spans="1:11" x14ac:dyDescent="0.25">
      <c r="A170" s="25" t="s">
        <v>11</v>
      </c>
      <c r="B170" s="1" t="s">
        <v>21</v>
      </c>
      <c r="C170" s="2">
        <v>161409</v>
      </c>
      <c r="D170" s="2">
        <v>7530</v>
      </c>
      <c r="E170" s="1">
        <v>538</v>
      </c>
      <c r="F170" s="1">
        <v>4.63</v>
      </c>
      <c r="G170" s="1">
        <v>1801</v>
      </c>
      <c r="H170" s="1">
        <v>22.99</v>
      </c>
      <c r="I170" s="1" t="s">
        <v>23</v>
      </c>
      <c r="J170" s="1" t="s">
        <v>17</v>
      </c>
      <c r="K170" s="26">
        <v>4</v>
      </c>
    </row>
    <row r="171" spans="1:11" x14ac:dyDescent="0.25">
      <c r="A171" s="25" t="s">
        <v>24</v>
      </c>
      <c r="B171" s="1" t="s">
        <v>19</v>
      </c>
      <c r="C171" s="2">
        <v>91537</v>
      </c>
      <c r="D171" s="2">
        <v>12116</v>
      </c>
      <c r="E171" s="1">
        <v>580</v>
      </c>
      <c r="F171" s="1">
        <v>4.03</v>
      </c>
      <c r="G171" s="1">
        <v>7870</v>
      </c>
      <c r="H171" s="1">
        <v>12.19</v>
      </c>
      <c r="I171" s="1" t="s">
        <v>16</v>
      </c>
      <c r="J171" s="1" t="s">
        <v>14</v>
      </c>
      <c r="K171" s="26">
        <v>4</v>
      </c>
    </row>
    <row r="172" spans="1:11" x14ac:dyDescent="0.25">
      <c r="A172" s="25" t="s">
        <v>15</v>
      </c>
      <c r="B172" s="1" t="s">
        <v>27</v>
      </c>
      <c r="C172" s="2">
        <v>188686</v>
      </c>
      <c r="D172" s="2">
        <v>1258</v>
      </c>
      <c r="E172" s="1">
        <v>99</v>
      </c>
      <c r="F172" s="1">
        <v>3.39</v>
      </c>
      <c r="G172" s="1">
        <v>19039</v>
      </c>
      <c r="H172" s="1">
        <v>26.4</v>
      </c>
      <c r="I172" s="1" t="s">
        <v>13</v>
      </c>
      <c r="J172" s="1" t="s">
        <v>14</v>
      </c>
      <c r="K172" s="26">
        <v>8</v>
      </c>
    </row>
    <row r="173" spans="1:11" x14ac:dyDescent="0.25">
      <c r="A173" s="25" t="s">
        <v>18</v>
      </c>
      <c r="B173" s="1" t="s">
        <v>27</v>
      </c>
      <c r="C173" s="2">
        <v>101155</v>
      </c>
      <c r="D173" s="2">
        <v>1282</v>
      </c>
      <c r="E173" s="1">
        <v>501</v>
      </c>
      <c r="F173" s="1">
        <v>3.62</v>
      </c>
      <c r="G173" s="1">
        <v>6911</v>
      </c>
      <c r="H173" s="1">
        <v>19.46</v>
      </c>
      <c r="I173" s="1" t="s">
        <v>22</v>
      </c>
      <c r="J173" s="1" t="s">
        <v>20</v>
      </c>
      <c r="K173" s="26">
        <v>1</v>
      </c>
    </row>
    <row r="174" spans="1:11" x14ac:dyDescent="0.25">
      <c r="A174" s="25" t="s">
        <v>11</v>
      </c>
      <c r="B174" s="1" t="s">
        <v>25</v>
      </c>
      <c r="C174" s="2">
        <v>10281</v>
      </c>
      <c r="D174" s="2">
        <v>14937</v>
      </c>
      <c r="E174" s="1">
        <v>208</v>
      </c>
      <c r="F174" s="1">
        <v>4.5599999999999996</v>
      </c>
      <c r="G174" s="1">
        <v>6865</v>
      </c>
      <c r="H174" s="1">
        <v>26.98</v>
      </c>
      <c r="I174" s="1" t="s">
        <v>13</v>
      </c>
      <c r="J174" s="1" t="s">
        <v>20</v>
      </c>
      <c r="K174" s="26">
        <v>4</v>
      </c>
    </row>
    <row r="175" spans="1:11" x14ac:dyDescent="0.25">
      <c r="A175" s="25" t="s">
        <v>15</v>
      </c>
      <c r="B175" s="1" t="s">
        <v>25</v>
      </c>
      <c r="C175" s="2">
        <v>168492</v>
      </c>
      <c r="D175" s="2">
        <v>2898</v>
      </c>
      <c r="E175" s="1">
        <v>371</v>
      </c>
      <c r="F175" s="1">
        <v>3.32</v>
      </c>
      <c r="G175" s="1">
        <v>15949</v>
      </c>
      <c r="H175" s="1">
        <v>18.71</v>
      </c>
      <c r="I175" s="1" t="s">
        <v>26</v>
      </c>
      <c r="J175" s="1" t="s">
        <v>17</v>
      </c>
      <c r="K175" s="26">
        <v>4</v>
      </c>
    </row>
    <row r="176" spans="1:11" x14ac:dyDescent="0.25">
      <c r="A176" s="25" t="s">
        <v>15</v>
      </c>
      <c r="B176" s="1" t="s">
        <v>12</v>
      </c>
      <c r="C176" s="2">
        <v>180102</v>
      </c>
      <c r="D176" s="2">
        <v>5135</v>
      </c>
      <c r="E176" s="1">
        <v>450</v>
      </c>
      <c r="F176" s="1">
        <v>3.53</v>
      </c>
      <c r="G176" s="1">
        <v>1192</v>
      </c>
      <c r="H176" s="1">
        <v>3.94</v>
      </c>
      <c r="I176" s="1" t="s">
        <v>23</v>
      </c>
      <c r="J176" s="1" t="s">
        <v>14</v>
      </c>
      <c r="K176" s="26">
        <v>1</v>
      </c>
    </row>
    <row r="177" spans="1:11" x14ac:dyDescent="0.25">
      <c r="A177" s="25" t="s">
        <v>24</v>
      </c>
      <c r="B177" s="1" t="s">
        <v>19</v>
      </c>
      <c r="C177" s="2">
        <v>142130</v>
      </c>
      <c r="D177" s="2">
        <v>7629</v>
      </c>
      <c r="E177" s="1">
        <v>35</v>
      </c>
      <c r="F177" s="1">
        <v>1.63</v>
      </c>
      <c r="G177" s="1">
        <v>1978</v>
      </c>
      <c r="H177" s="1">
        <v>9.2899999999999991</v>
      </c>
      <c r="I177" s="1" t="s">
        <v>23</v>
      </c>
      <c r="J177" s="1" t="s">
        <v>17</v>
      </c>
      <c r="K177" s="26">
        <v>3</v>
      </c>
    </row>
    <row r="178" spans="1:11" x14ac:dyDescent="0.25">
      <c r="A178" s="25" t="s">
        <v>11</v>
      </c>
      <c r="B178" s="1" t="s">
        <v>21</v>
      </c>
      <c r="C178" s="2">
        <v>86260</v>
      </c>
      <c r="D178" s="2">
        <v>44936</v>
      </c>
      <c r="E178" s="1">
        <v>34</v>
      </c>
      <c r="F178" s="1">
        <v>2.9</v>
      </c>
      <c r="G178" s="1">
        <v>6896</v>
      </c>
      <c r="H178" s="1">
        <v>6.05</v>
      </c>
      <c r="I178" s="1" t="s">
        <v>16</v>
      </c>
      <c r="J178" s="1" t="s">
        <v>20</v>
      </c>
      <c r="K178" s="26">
        <v>5</v>
      </c>
    </row>
    <row r="179" spans="1:11" x14ac:dyDescent="0.25">
      <c r="A179" s="25" t="s">
        <v>11</v>
      </c>
      <c r="B179" s="1" t="s">
        <v>27</v>
      </c>
      <c r="C179" s="2">
        <v>169476</v>
      </c>
      <c r="D179" s="2">
        <v>20584</v>
      </c>
      <c r="E179" s="1">
        <v>403</v>
      </c>
      <c r="F179" s="1">
        <v>3.87</v>
      </c>
      <c r="G179" s="1">
        <v>8948</v>
      </c>
      <c r="H179" s="1">
        <v>27.26</v>
      </c>
      <c r="I179" s="1" t="s">
        <v>23</v>
      </c>
      <c r="J179" s="1" t="s">
        <v>20</v>
      </c>
      <c r="K179" s="26">
        <v>6</v>
      </c>
    </row>
    <row r="180" spans="1:11" x14ac:dyDescent="0.25">
      <c r="A180" s="25" t="s">
        <v>18</v>
      </c>
      <c r="B180" s="1" t="s">
        <v>12</v>
      </c>
      <c r="C180" s="2">
        <v>170928</v>
      </c>
      <c r="D180" s="2">
        <v>24551</v>
      </c>
      <c r="E180" s="1">
        <v>516</v>
      </c>
      <c r="F180" s="1">
        <v>2.08</v>
      </c>
      <c r="G180" s="1">
        <v>11122</v>
      </c>
      <c r="H180" s="1">
        <v>22.81</v>
      </c>
      <c r="I180" s="1" t="s">
        <v>22</v>
      </c>
      <c r="J180" s="1" t="s">
        <v>17</v>
      </c>
      <c r="K180" s="26">
        <v>9</v>
      </c>
    </row>
    <row r="181" spans="1:11" x14ac:dyDescent="0.25">
      <c r="A181" s="25" t="s">
        <v>11</v>
      </c>
      <c r="B181" s="1" t="s">
        <v>12</v>
      </c>
      <c r="C181" s="2">
        <v>150272</v>
      </c>
      <c r="D181" s="2">
        <v>34380</v>
      </c>
      <c r="E181" s="1">
        <v>310</v>
      </c>
      <c r="F181" s="1">
        <v>1.81</v>
      </c>
      <c r="G181" s="1">
        <v>17325</v>
      </c>
      <c r="H181" s="1">
        <v>20.29</v>
      </c>
      <c r="I181" s="1" t="s">
        <v>26</v>
      </c>
      <c r="J181" s="1" t="s">
        <v>20</v>
      </c>
      <c r="K181" s="26">
        <v>9</v>
      </c>
    </row>
    <row r="182" spans="1:11" x14ac:dyDescent="0.25">
      <c r="A182" s="25" t="s">
        <v>18</v>
      </c>
      <c r="B182" s="1" t="s">
        <v>27</v>
      </c>
      <c r="C182" s="2">
        <v>74178</v>
      </c>
      <c r="D182" s="2">
        <v>47971</v>
      </c>
      <c r="E182" s="1">
        <v>348</v>
      </c>
      <c r="F182" s="1">
        <v>2.2599999999999998</v>
      </c>
      <c r="G182" s="1">
        <v>10573</v>
      </c>
      <c r="H182" s="1">
        <v>9.0299999999999994</v>
      </c>
      <c r="I182" s="1" t="s">
        <v>13</v>
      </c>
      <c r="J182" s="1" t="s">
        <v>14</v>
      </c>
      <c r="K182" s="26">
        <v>9</v>
      </c>
    </row>
    <row r="183" spans="1:11" x14ac:dyDescent="0.25">
      <c r="A183" s="25" t="s">
        <v>11</v>
      </c>
      <c r="B183" s="1" t="s">
        <v>21</v>
      </c>
      <c r="C183" s="2">
        <v>43997</v>
      </c>
      <c r="D183" s="2">
        <v>18071</v>
      </c>
      <c r="E183" s="1">
        <v>276</v>
      </c>
      <c r="F183" s="1">
        <v>1.97</v>
      </c>
      <c r="G183" s="1">
        <v>3146</v>
      </c>
      <c r="H183" s="1">
        <v>5.52</v>
      </c>
      <c r="I183" s="1" t="s">
        <v>26</v>
      </c>
      <c r="J183" s="1" t="s">
        <v>17</v>
      </c>
      <c r="K183" s="26">
        <v>1</v>
      </c>
    </row>
    <row r="184" spans="1:11" x14ac:dyDescent="0.25">
      <c r="A184" s="25" t="s">
        <v>24</v>
      </c>
      <c r="B184" s="1" t="s">
        <v>12</v>
      </c>
      <c r="C184" s="2">
        <v>166683</v>
      </c>
      <c r="D184" s="2">
        <v>21074</v>
      </c>
      <c r="E184" s="1">
        <v>470</v>
      </c>
      <c r="F184" s="1">
        <v>1.86</v>
      </c>
      <c r="G184" s="1">
        <v>5709</v>
      </c>
      <c r="H184" s="1">
        <v>22.69</v>
      </c>
      <c r="I184" s="1" t="s">
        <v>23</v>
      </c>
      <c r="J184" s="1" t="s">
        <v>14</v>
      </c>
      <c r="K184" s="26">
        <v>9</v>
      </c>
    </row>
    <row r="185" spans="1:11" x14ac:dyDescent="0.25">
      <c r="A185" s="25" t="s">
        <v>11</v>
      </c>
      <c r="B185" s="1" t="s">
        <v>12</v>
      </c>
      <c r="C185" s="2">
        <v>129273</v>
      </c>
      <c r="D185" s="2">
        <v>26188</v>
      </c>
      <c r="E185" s="1">
        <v>702</v>
      </c>
      <c r="F185" s="1">
        <v>2.7</v>
      </c>
      <c r="G185" s="1">
        <v>7033</v>
      </c>
      <c r="H185" s="1">
        <v>14.22</v>
      </c>
      <c r="I185" s="1" t="s">
        <v>13</v>
      </c>
      <c r="J185" s="1" t="s">
        <v>14</v>
      </c>
      <c r="K185" s="26">
        <v>8</v>
      </c>
    </row>
    <row r="186" spans="1:11" x14ac:dyDescent="0.25">
      <c r="A186" s="25" t="s">
        <v>18</v>
      </c>
      <c r="B186" s="1" t="s">
        <v>19</v>
      </c>
      <c r="C186" s="2">
        <v>182307</v>
      </c>
      <c r="D186" s="2">
        <v>3307</v>
      </c>
      <c r="E186" s="1">
        <v>465</v>
      </c>
      <c r="F186" s="1">
        <v>4.63</v>
      </c>
      <c r="G186" s="1">
        <v>7711</v>
      </c>
      <c r="H186" s="1">
        <v>6.77</v>
      </c>
      <c r="I186" s="1" t="s">
        <v>16</v>
      </c>
      <c r="J186" s="1" t="s">
        <v>20</v>
      </c>
      <c r="K186" s="26">
        <v>2</v>
      </c>
    </row>
    <row r="187" spans="1:11" x14ac:dyDescent="0.25">
      <c r="A187" s="25" t="s">
        <v>18</v>
      </c>
      <c r="B187" s="1" t="s">
        <v>21</v>
      </c>
      <c r="C187" s="2">
        <v>176129</v>
      </c>
      <c r="D187" s="2">
        <v>40901</v>
      </c>
      <c r="E187" s="1">
        <v>369</v>
      </c>
      <c r="F187" s="1">
        <v>3.03</v>
      </c>
      <c r="G187" s="1">
        <v>10427</v>
      </c>
      <c r="H187" s="1">
        <v>18.5</v>
      </c>
      <c r="I187" s="1" t="s">
        <v>26</v>
      </c>
      <c r="J187" s="1" t="s">
        <v>14</v>
      </c>
      <c r="K187" s="26">
        <v>1</v>
      </c>
    </row>
    <row r="188" spans="1:11" x14ac:dyDescent="0.25">
      <c r="A188" s="25" t="s">
        <v>24</v>
      </c>
      <c r="B188" s="1" t="s">
        <v>12</v>
      </c>
      <c r="C188" s="2">
        <v>142311</v>
      </c>
      <c r="D188" s="2">
        <v>12205</v>
      </c>
      <c r="E188" s="1">
        <v>77</v>
      </c>
      <c r="F188" s="1">
        <v>1.75</v>
      </c>
      <c r="G188" s="1">
        <v>12427</v>
      </c>
      <c r="H188" s="1">
        <v>1.21</v>
      </c>
      <c r="I188" s="1" t="s">
        <v>13</v>
      </c>
      <c r="J188" s="1" t="s">
        <v>17</v>
      </c>
      <c r="K188" s="26">
        <v>1</v>
      </c>
    </row>
    <row r="189" spans="1:11" x14ac:dyDescent="0.25">
      <c r="A189" s="25" t="s">
        <v>11</v>
      </c>
      <c r="B189" s="1" t="s">
        <v>21</v>
      </c>
      <c r="C189" s="2">
        <v>136945</v>
      </c>
      <c r="D189" s="2">
        <v>6906</v>
      </c>
      <c r="E189" s="1">
        <v>872</v>
      </c>
      <c r="F189" s="1">
        <v>1.31</v>
      </c>
      <c r="G189" s="1">
        <v>19529</v>
      </c>
      <c r="H189" s="1">
        <v>9.7899999999999991</v>
      </c>
      <c r="I189" s="1" t="s">
        <v>13</v>
      </c>
      <c r="J189" s="1" t="s">
        <v>14</v>
      </c>
      <c r="K189" s="26">
        <v>6</v>
      </c>
    </row>
    <row r="190" spans="1:11" x14ac:dyDescent="0.25">
      <c r="A190" s="25" t="s">
        <v>11</v>
      </c>
      <c r="B190" s="1" t="s">
        <v>27</v>
      </c>
      <c r="C190" s="2">
        <v>55272</v>
      </c>
      <c r="D190" s="2">
        <v>3591</v>
      </c>
      <c r="E190" s="1">
        <v>421</v>
      </c>
      <c r="F190" s="1">
        <v>3.78</v>
      </c>
      <c r="G190" s="1">
        <v>9816</v>
      </c>
      <c r="H190" s="1">
        <v>14.06</v>
      </c>
      <c r="I190" s="1" t="s">
        <v>13</v>
      </c>
      <c r="J190" s="1" t="s">
        <v>14</v>
      </c>
      <c r="K190" s="26">
        <v>9</v>
      </c>
    </row>
    <row r="191" spans="1:11" x14ac:dyDescent="0.25">
      <c r="A191" s="25" t="s">
        <v>24</v>
      </c>
      <c r="B191" s="1" t="s">
        <v>25</v>
      </c>
      <c r="C191" s="2">
        <v>99393</v>
      </c>
      <c r="D191" s="2">
        <v>16149</v>
      </c>
      <c r="E191" s="1">
        <v>980</v>
      </c>
      <c r="F191" s="1">
        <v>2.5299999999999998</v>
      </c>
      <c r="G191" s="1">
        <v>12677</v>
      </c>
      <c r="H191" s="1">
        <v>4.4400000000000004</v>
      </c>
      <c r="I191" s="1" t="s">
        <v>22</v>
      </c>
      <c r="J191" s="1" t="s">
        <v>14</v>
      </c>
      <c r="K191" s="26">
        <v>7</v>
      </c>
    </row>
    <row r="192" spans="1:11" x14ac:dyDescent="0.25">
      <c r="A192" s="25" t="s">
        <v>11</v>
      </c>
      <c r="B192" s="1" t="s">
        <v>12</v>
      </c>
      <c r="C192" s="2">
        <v>71212</v>
      </c>
      <c r="D192" s="2">
        <v>45918</v>
      </c>
      <c r="E192" s="1">
        <v>500</v>
      </c>
      <c r="F192" s="1">
        <v>4.29</v>
      </c>
      <c r="G192" s="1">
        <v>11346</v>
      </c>
      <c r="H192" s="1">
        <v>29.54</v>
      </c>
      <c r="I192" s="1" t="s">
        <v>26</v>
      </c>
      <c r="J192" s="1" t="s">
        <v>14</v>
      </c>
      <c r="K192" s="26">
        <v>5</v>
      </c>
    </row>
    <row r="193" spans="1:11" x14ac:dyDescent="0.25">
      <c r="A193" s="25" t="s">
        <v>11</v>
      </c>
      <c r="B193" s="1" t="s">
        <v>19</v>
      </c>
      <c r="C193" s="2">
        <v>156470</v>
      </c>
      <c r="D193" s="2">
        <v>40951</v>
      </c>
      <c r="E193" s="1">
        <v>842</v>
      </c>
      <c r="F193" s="1">
        <v>3.64</v>
      </c>
      <c r="G193" s="1">
        <v>8433</v>
      </c>
      <c r="H193" s="1">
        <v>6.27</v>
      </c>
      <c r="I193" s="1" t="s">
        <v>13</v>
      </c>
      <c r="J193" s="1" t="s">
        <v>14</v>
      </c>
      <c r="K193" s="26">
        <v>2</v>
      </c>
    </row>
    <row r="194" spans="1:11" x14ac:dyDescent="0.25">
      <c r="A194" s="25" t="s">
        <v>18</v>
      </c>
      <c r="B194" s="1" t="s">
        <v>27</v>
      </c>
      <c r="C194" s="2">
        <v>130030</v>
      </c>
      <c r="D194" s="2">
        <v>26150</v>
      </c>
      <c r="E194" s="1">
        <v>58</v>
      </c>
      <c r="F194" s="1">
        <v>4.18</v>
      </c>
      <c r="G194" s="1">
        <v>5976</v>
      </c>
      <c r="H194" s="1">
        <v>3.91</v>
      </c>
      <c r="I194" s="1" t="s">
        <v>26</v>
      </c>
      <c r="J194" s="1" t="s">
        <v>20</v>
      </c>
      <c r="K194" s="26">
        <v>1</v>
      </c>
    </row>
    <row r="195" spans="1:11" x14ac:dyDescent="0.25">
      <c r="A195" s="25" t="s">
        <v>11</v>
      </c>
      <c r="B195" s="1" t="s">
        <v>21</v>
      </c>
      <c r="C195" s="2">
        <v>66503</v>
      </c>
      <c r="D195" s="2">
        <v>32852</v>
      </c>
      <c r="E195" s="1">
        <v>696</v>
      </c>
      <c r="F195" s="1">
        <v>2.09</v>
      </c>
      <c r="G195" s="1">
        <v>14353</v>
      </c>
      <c r="H195" s="1">
        <v>6.11</v>
      </c>
      <c r="I195" s="1" t="s">
        <v>13</v>
      </c>
      <c r="J195" s="1" t="s">
        <v>17</v>
      </c>
      <c r="K195" s="26">
        <v>2</v>
      </c>
    </row>
    <row r="196" spans="1:11" x14ac:dyDescent="0.25">
      <c r="A196" s="25" t="s">
        <v>11</v>
      </c>
      <c r="B196" s="1" t="s">
        <v>27</v>
      </c>
      <c r="C196" s="2">
        <v>147710</v>
      </c>
      <c r="D196" s="2">
        <v>43870</v>
      </c>
      <c r="E196" s="1">
        <v>573</v>
      </c>
      <c r="F196" s="1">
        <v>3.77</v>
      </c>
      <c r="G196" s="1">
        <v>8428</v>
      </c>
      <c r="H196" s="1">
        <v>23.07</v>
      </c>
      <c r="I196" s="1" t="s">
        <v>16</v>
      </c>
      <c r="J196" s="1" t="s">
        <v>20</v>
      </c>
      <c r="K196" s="26">
        <v>1</v>
      </c>
    </row>
    <row r="197" spans="1:11" x14ac:dyDescent="0.25">
      <c r="A197" s="25" t="s">
        <v>24</v>
      </c>
      <c r="B197" s="1" t="s">
        <v>12</v>
      </c>
      <c r="C197" s="2">
        <v>16570</v>
      </c>
      <c r="D197" s="2">
        <v>2283</v>
      </c>
      <c r="E197" s="1">
        <v>111</v>
      </c>
      <c r="F197" s="1">
        <v>2.06</v>
      </c>
      <c r="G197" s="1">
        <v>2580</v>
      </c>
      <c r="H197" s="1">
        <v>12.77</v>
      </c>
      <c r="I197" s="1" t="s">
        <v>16</v>
      </c>
      <c r="J197" s="1" t="s">
        <v>17</v>
      </c>
      <c r="K197" s="26">
        <v>3</v>
      </c>
    </row>
    <row r="198" spans="1:11" x14ac:dyDescent="0.25">
      <c r="A198" s="25" t="s">
        <v>24</v>
      </c>
      <c r="B198" s="1" t="s">
        <v>21</v>
      </c>
      <c r="C198" s="2">
        <v>78785</v>
      </c>
      <c r="D198" s="2">
        <v>34691</v>
      </c>
      <c r="E198" s="1">
        <v>225</v>
      </c>
      <c r="F198" s="1">
        <v>4.76</v>
      </c>
      <c r="G198" s="1">
        <v>6589</v>
      </c>
      <c r="H198" s="1">
        <v>16.96</v>
      </c>
      <c r="I198" s="1" t="s">
        <v>16</v>
      </c>
      <c r="J198" s="1" t="s">
        <v>17</v>
      </c>
      <c r="K198" s="26">
        <v>6</v>
      </c>
    </row>
    <row r="199" spans="1:11" x14ac:dyDescent="0.25">
      <c r="A199" s="25" t="s">
        <v>15</v>
      </c>
      <c r="B199" s="1" t="s">
        <v>25</v>
      </c>
      <c r="C199" s="2">
        <v>19110</v>
      </c>
      <c r="D199" s="2">
        <v>2125</v>
      </c>
      <c r="E199" s="1">
        <v>447</v>
      </c>
      <c r="F199" s="1">
        <v>3.55</v>
      </c>
      <c r="G199" s="1">
        <v>8297</v>
      </c>
      <c r="H199" s="1">
        <v>0.63</v>
      </c>
      <c r="I199" s="1" t="s">
        <v>23</v>
      </c>
      <c r="J199" s="1" t="s">
        <v>17</v>
      </c>
      <c r="K199" s="26">
        <v>8</v>
      </c>
    </row>
    <row r="200" spans="1:11" x14ac:dyDescent="0.25">
      <c r="A200" s="25" t="s">
        <v>18</v>
      </c>
      <c r="B200" s="1" t="s">
        <v>27</v>
      </c>
      <c r="C200" s="2">
        <v>89141</v>
      </c>
      <c r="D200" s="2">
        <v>2529</v>
      </c>
      <c r="E200" s="1">
        <v>709</v>
      </c>
      <c r="F200" s="1">
        <v>2.2999999999999998</v>
      </c>
      <c r="G200" s="1">
        <v>17745</v>
      </c>
      <c r="H200" s="1">
        <v>1.03</v>
      </c>
      <c r="I200" s="1" t="s">
        <v>13</v>
      </c>
      <c r="J200" s="1" t="s">
        <v>17</v>
      </c>
      <c r="K200" s="26">
        <v>3</v>
      </c>
    </row>
    <row r="201" spans="1:11" x14ac:dyDescent="0.25">
      <c r="A201" s="25" t="s">
        <v>11</v>
      </c>
      <c r="B201" s="1" t="s">
        <v>12</v>
      </c>
      <c r="C201" s="2">
        <v>22115</v>
      </c>
      <c r="D201" s="2">
        <v>27170</v>
      </c>
      <c r="E201" s="1">
        <v>578</v>
      </c>
      <c r="F201" s="1">
        <v>2.08</v>
      </c>
      <c r="G201" s="1">
        <v>8846</v>
      </c>
      <c r="H201" s="1">
        <v>13.37</v>
      </c>
      <c r="I201" s="1" t="s">
        <v>23</v>
      </c>
      <c r="J201" s="1" t="s">
        <v>17</v>
      </c>
      <c r="K201" s="26">
        <v>9</v>
      </c>
    </row>
    <row r="202" spans="1:11" x14ac:dyDescent="0.25">
      <c r="A202" s="25" t="s">
        <v>11</v>
      </c>
      <c r="B202" s="1" t="s">
        <v>19</v>
      </c>
      <c r="C202" s="2">
        <v>49062</v>
      </c>
      <c r="D202" s="2">
        <v>9438</v>
      </c>
      <c r="E202" s="1">
        <v>568</v>
      </c>
      <c r="F202" s="1">
        <v>1.76</v>
      </c>
      <c r="G202" s="1">
        <v>1404</v>
      </c>
      <c r="H202" s="1">
        <v>24.5</v>
      </c>
      <c r="I202" s="1" t="s">
        <v>26</v>
      </c>
      <c r="J202" s="1" t="s">
        <v>14</v>
      </c>
      <c r="K202" s="26">
        <v>5</v>
      </c>
    </row>
    <row r="203" spans="1:11" x14ac:dyDescent="0.25">
      <c r="A203" s="25" t="s">
        <v>15</v>
      </c>
      <c r="B203" s="1" t="s">
        <v>21</v>
      </c>
      <c r="C203" s="2">
        <v>32911</v>
      </c>
      <c r="D203" s="2">
        <v>21095</v>
      </c>
      <c r="E203" s="1">
        <v>168</v>
      </c>
      <c r="F203" s="1">
        <v>3.78</v>
      </c>
      <c r="G203" s="1">
        <v>18153</v>
      </c>
      <c r="H203" s="1">
        <v>26.56</v>
      </c>
      <c r="I203" s="1" t="s">
        <v>23</v>
      </c>
      <c r="J203" s="1" t="s">
        <v>20</v>
      </c>
      <c r="K203" s="26">
        <v>7</v>
      </c>
    </row>
    <row r="204" spans="1:11" x14ac:dyDescent="0.25">
      <c r="A204" s="25" t="s">
        <v>11</v>
      </c>
      <c r="B204" s="1" t="s">
        <v>27</v>
      </c>
      <c r="C204" s="2">
        <v>114061</v>
      </c>
      <c r="D204" s="2">
        <v>17154</v>
      </c>
      <c r="E204" s="1">
        <v>498</v>
      </c>
      <c r="F204" s="1">
        <v>1.87</v>
      </c>
      <c r="G204" s="1">
        <v>17288</v>
      </c>
      <c r="H204" s="1">
        <v>2.6</v>
      </c>
      <c r="I204" s="1" t="s">
        <v>26</v>
      </c>
      <c r="J204" s="1" t="s">
        <v>20</v>
      </c>
      <c r="K204" s="26">
        <v>8</v>
      </c>
    </row>
    <row r="205" spans="1:11" x14ac:dyDescent="0.25">
      <c r="A205" s="25" t="s">
        <v>18</v>
      </c>
      <c r="B205" s="1" t="s">
        <v>27</v>
      </c>
      <c r="C205" s="2">
        <v>42556</v>
      </c>
      <c r="D205" s="2">
        <v>9004</v>
      </c>
      <c r="E205" s="1">
        <v>695</v>
      </c>
      <c r="F205" s="1">
        <v>3.38</v>
      </c>
      <c r="G205" s="1">
        <v>10474</v>
      </c>
      <c r="H205" s="1">
        <v>16.149999999999999</v>
      </c>
      <c r="I205" s="1" t="s">
        <v>26</v>
      </c>
      <c r="J205" s="1" t="s">
        <v>14</v>
      </c>
      <c r="K205" s="26">
        <v>3</v>
      </c>
    </row>
    <row r="206" spans="1:11" x14ac:dyDescent="0.25">
      <c r="A206" s="25" t="s">
        <v>15</v>
      </c>
      <c r="B206" s="1" t="s">
        <v>25</v>
      </c>
      <c r="C206" s="2">
        <v>138335</v>
      </c>
      <c r="D206" s="2">
        <v>10752</v>
      </c>
      <c r="E206" s="1">
        <v>251</v>
      </c>
      <c r="F206" s="1">
        <v>2.06</v>
      </c>
      <c r="G206" s="1">
        <v>1684</v>
      </c>
      <c r="H206" s="1">
        <v>27.4</v>
      </c>
      <c r="I206" s="1" t="s">
        <v>26</v>
      </c>
      <c r="J206" s="1" t="s">
        <v>17</v>
      </c>
      <c r="K206" s="26">
        <v>2</v>
      </c>
    </row>
    <row r="207" spans="1:11" x14ac:dyDescent="0.25">
      <c r="A207" s="25" t="s">
        <v>18</v>
      </c>
      <c r="B207" s="1" t="s">
        <v>25</v>
      </c>
      <c r="C207" s="2">
        <v>11969</v>
      </c>
      <c r="D207" s="2">
        <v>44360</v>
      </c>
      <c r="E207" s="1">
        <v>803</v>
      </c>
      <c r="F207" s="1">
        <v>3.65</v>
      </c>
      <c r="G207" s="1">
        <v>2225</v>
      </c>
      <c r="H207" s="1">
        <v>11.64</v>
      </c>
      <c r="I207" s="1" t="s">
        <v>23</v>
      </c>
      <c r="J207" s="1" t="s">
        <v>20</v>
      </c>
      <c r="K207" s="26">
        <v>2</v>
      </c>
    </row>
    <row r="208" spans="1:11" x14ac:dyDescent="0.25">
      <c r="A208" s="25" t="s">
        <v>15</v>
      </c>
      <c r="B208" s="1" t="s">
        <v>19</v>
      </c>
      <c r="C208" s="2">
        <v>53753</v>
      </c>
      <c r="D208" s="2">
        <v>27819</v>
      </c>
      <c r="E208" s="1">
        <v>762</v>
      </c>
      <c r="F208" s="1">
        <v>4.26</v>
      </c>
      <c r="G208" s="1">
        <v>11880</v>
      </c>
      <c r="H208" s="1">
        <v>24.89</v>
      </c>
      <c r="I208" s="1" t="s">
        <v>13</v>
      </c>
      <c r="J208" s="1" t="s">
        <v>14</v>
      </c>
      <c r="K208" s="26">
        <v>5</v>
      </c>
    </row>
    <row r="209" spans="1:11" x14ac:dyDescent="0.25">
      <c r="A209" s="25" t="s">
        <v>15</v>
      </c>
      <c r="B209" s="1" t="s">
        <v>19</v>
      </c>
      <c r="C209" s="2">
        <v>145542</v>
      </c>
      <c r="D209" s="2">
        <v>37632</v>
      </c>
      <c r="E209" s="1">
        <v>891</v>
      </c>
      <c r="F209" s="1">
        <v>4.1100000000000003</v>
      </c>
      <c r="G209" s="1">
        <v>13557</v>
      </c>
      <c r="H209" s="1">
        <v>4.01</v>
      </c>
      <c r="I209" s="1" t="s">
        <v>23</v>
      </c>
      <c r="J209" s="1" t="s">
        <v>14</v>
      </c>
      <c r="K209" s="26">
        <v>1</v>
      </c>
    </row>
    <row r="210" spans="1:11" x14ac:dyDescent="0.25">
      <c r="A210" s="25" t="s">
        <v>24</v>
      </c>
      <c r="B210" s="1" t="s">
        <v>12</v>
      </c>
      <c r="C210" s="2">
        <v>131863</v>
      </c>
      <c r="D210" s="2">
        <v>27515</v>
      </c>
      <c r="E210" s="1">
        <v>14</v>
      </c>
      <c r="F210" s="1">
        <v>4.04</v>
      </c>
      <c r="G210" s="1">
        <v>6106</v>
      </c>
      <c r="H210" s="1">
        <v>28.06</v>
      </c>
      <c r="I210" s="1" t="s">
        <v>13</v>
      </c>
      <c r="J210" s="1" t="s">
        <v>20</v>
      </c>
      <c r="K210" s="26">
        <v>2</v>
      </c>
    </row>
    <row r="211" spans="1:11" x14ac:dyDescent="0.25">
      <c r="A211" s="25" t="s">
        <v>18</v>
      </c>
      <c r="B211" s="1" t="s">
        <v>12</v>
      </c>
      <c r="C211" s="2">
        <v>20225</v>
      </c>
      <c r="D211" s="2">
        <v>25217</v>
      </c>
      <c r="E211" s="1">
        <v>605</v>
      </c>
      <c r="F211" s="1">
        <v>1.75</v>
      </c>
      <c r="G211" s="1">
        <v>4456</v>
      </c>
      <c r="H211" s="1">
        <v>22.54</v>
      </c>
      <c r="I211" s="1" t="s">
        <v>13</v>
      </c>
      <c r="J211" s="1" t="s">
        <v>20</v>
      </c>
      <c r="K211" s="26">
        <v>9</v>
      </c>
    </row>
    <row r="212" spans="1:11" x14ac:dyDescent="0.25">
      <c r="A212" s="25" t="s">
        <v>11</v>
      </c>
      <c r="B212" s="1" t="s">
        <v>19</v>
      </c>
      <c r="C212" s="2">
        <v>133008</v>
      </c>
      <c r="D212" s="2">
        <v>24172</v>
      </c>
      <c r="E212" s="1">
        <v>829</v>
      </c>
      <c r="F212" s="1">
        <v>1.35</v>
      </c>
      <c r="G212" s="1">
        <v>17055</v>
      </c>
      <c r="H212" s="1">
        <v>28.24</v>
      </c>
      <c r="I212" s="1" t="s">
        <v>26</v>
      </c>
      <c r="J212" s="1" t="s">
        <v>17</v>
      </c>
      <c r="K212" s="26">
        <v>7</v>
      </c>
    </row>
    <row r="213" spans="1:11" x14ac:dyDescent="0.25">
      <c r="A213" s="25" t="s">
        <v>11</v>
      </c>
      <c r="B213" s="1" t="s">
        <v>19</v>
      </c>
      <c r="C213" s="2">
        <v>164268</v>
      </c>
      <c r="D213" s="2">
        <v>33994</v>
      </c>
      <c r="E213" s="1">
        <v>370</v>
      </c>
      <c r="F213" s="1">
        <v>3.8</v>
      </c>
      <c r="G213" s="1">
        <v>19190</v>
      </c>
      <c r="H213" s="1">
        <v>20.3</v>
      </c>
      <c r="I213" s="1" t="s">
        <v>23</v>
      </c>
      <c r="J213" s="1" t="s">
        <v>17</v>
      </c>
      <c r="K213" s="26">
        <v>6</v>
      </c>
    </row>
    <row r="214" spans="1:11" x14ac:dyDescent="0.25">
      <c r="A214" s="25" t="s">
        <v>18</v>
      </c>
      <c r="B214" s="1" t="s">
        <v>21</v>
      </c>
      <c r="C214" s="2">
        <v>115823</v>
      </c>
      <c r="D214" s="2">
        <v>16036</v>
      </c>
      <c r="E214" s="1">
        <v>468</v>
      </c>
      <c r="F214" s="1">
        <v>2.4700000000000002</v>
      </c>
      <c r="G214" s="1">
        <v>16581</v>
      </c>
      <c r="H214" s="1">
        <v>10.9</v>
      </c>
      <c r="I214" s="1" t="s">
        <v>13</v>
      </c>
      <c r="J214" s="1" t="s">
        <v>20</v>
      </c>
      <c r="K214" s="26">
        <v>9</v>
      </c>
    </row>
    <row r="215" spans="1:11" x14ac:dyDescent="0.25">
      <c r="A215" s="25" t="s">
        <v>11</v>
      </c>
      <c r="B215" s="1" t="s">
        <v>25</v>
      </c>
      <c r="C215" s="2">
        <v>23669</v>
      </c>
      <c r="D215" s="2">
        <v>12739</v>
      </c>
      <c r="E215" s="1">
        <v>257</v>
      </c>
      <c r="F215" s="1">
        <v>2.73</v>
      </c>
      <c r="G215" s="1">
        <v>921</v>
      </c>
      <c r="H215" s="1">
        <v>28.15</v>
      </c>
      <c r="I215" s="1" t="s">
        <v>16</v>
      </c>
      <c r="J215" s="1" t="s">
        <v>17</v>
      </c>
      <c r="K215" s="26">
        <v>7</v>
      </c>
    </row>
    <row r="216" spans="1:11" x14ac:dyDescent="0.25">
      <c r="A216" s="25" t="s">
        <v>11</v>
      </c>
      <c r="B216" s="1" t="s">
        <v>12</v>
      </c>
      <c r="C216" s="2">
        <v>178452</v>
      </c>
      <c r="D216" s="2">
        <v>33220</v>
      </c>
      <c r="E216" s="1">
        <v>575</v>
      </c>
      <c r="F216" s="1">
        <v>1.1200000000000001</v>
      </c>
      <c r="G216" s="1">
        <v>6040</v>
      </c>
      <c r="H216" s="1">
        <v>8.27</v>
      </c>
      <c r="I216" s="1" t="s">
        <v>13</v>
      </c>
      <c r="J216" s="1" t="s">
        <v>14</v>
      </c>
      <c r="K216" s="26">
        <v>5</v>
      </c>
    </row>
    <row r="217" spans="1:11" x14ac:dyDescent="0.25">
      <c r="A217" s="25" t="s">
        <v>18</v>
      </c>
      <c r="B217" s="1" t="s">
        <v>25</v>
      </c>
      <c r="C217" s="2">
        <v>134398</v>
      </c>
      <c r="D217" s="2">
        <v>10587</v>
      </c>
      <c r="E217" s="1">
        <v>682</v>
      </c>
      <c r="F217" s="1">
        <v>2.04</v>
      </c>
      <c r="G217" s="1">
        <v>16788</v>
      </c>
      <c r="H217" s="1">
        <v>9.9700000000000006</v>
      </c>
      <c r="I217" s="1" t="s">
        <v>16</v>
      </c>
      <c r="J217" s="1" t="s">
        <v>17</v>
      </c>
      <c r="K217" s="26">
        <v>9</v>
      </c>
    </row>
    <row r="218" spans="1:11" x14ac:dyDescent="0.25">
      <c r="A218" s="25" t="s">
        <v>15</v>
      </c>
      <c r="B218" s="1" t="s">
        <v>25</v>
      </c>
      <c r="C218" s="2">
        <v>120677</v>
      </c>
      <c r="D218" s="2">
        <v>45517</v>
      </c>
      <c r="E218" s="1">
        <v>955</v>
      </c>
      <c r="F218" s="1">
        <v>1.1299999999999999</v>
      </c>
      <c r="G218" s="1">
        <v>16466</v>
      </c>
      <c r="H218" s="1">
        <v>21.02</v>
      </c>
      <c r="I218" s="1" t="s">
        <v>23</v>
      </c>
      <c r="J218" s="1" t="s">
        <v>17</v>
      </c>
      <c r="K218" s="26">
        <v>6</v>
      </c>
    </row>
    <row r="219" spans="1:11" x14ac:dyDescent="0.25">
      <c r="A219" s="25" t="s">
        <v>18</v>
      </c>
      <c r="B219" s="1" t="s">
        <v>19</v>
      </c>
      <c r="C219" s="2">
        <v>58320</v>
      </c>
      <c r="D219" s="2">
        <v>31129</v>
      </c>
      <c r="E219" s="1">
        <v>431</v>
      </c>
      <c r="F219" s="1">
        <v>4.5199999999999996</v>
      </c>
      <c r="G219" s="1">
        <v>16382</v>
      </c>
      <c r="H219" s="1">
        <v>22.96</v>
      </c>
      <c r="I219" s="1" t="s">
        <v>23</v>
      </c>
      <c r="J219" s="1" t="s">
        <v>14</v>
      </c>
      <c r="K219" s="26">
        <v>6</v>
      </c>
    </row>
    <row r="220" spans="1:11" x14ac:dyDescent="0.25">
      <c r="A220" s="25" t="s">
        <v>15</v>
      </c>
      <c r="B220" s="1" t="s">
        <v>21</v>
      </c>
      <c r="C220" s="2">
        <v>188486</v>
      </c>
      <c r="D220" s="2">
        <v>1645</v>
      </c>
      <c r="E220" s="1">
        <v>932</v>
      </c>
      <c r="F220" s="1">
        <v>1.97</v>
      </c>
      <c r="G220" s="1">
        <v>5175</v>
      </c>
      <c r="H220" s="1">
        <v>27.88</v>
      </c>
      <c r="I220" s="1" t="s">
        <v>23</v>
      </c>
      <c r="J220" s="1" t="s">
        <v>17</v>
      </c>
      <c r="K220" s="26">
        <v>4</v>
      </c>
    </row>
    <row r="221" spans="1:11" x14ac:dyDescent="0.25">
      <c r="A221" s="25" t="s">
        <v>11</v>
      </c>
      <c r="B221" s="1" t="s">
        <v>27</v>
      </c>
      <c r="C221" s="2">
        <v>156649</v>
      </c>
      <c r="D221" s="2">
        <v>31930</v>
      </c>
      <c r="E221" s="1">
        <v>747</v>
      </c>
      <c r="F221" s="1">
        <v>3.23</v>
      </c>
      <c r="G221" s="1">
        <v>9582</v>
      </c>
      <c r="H221" s="1">
        <v>6.14</v>
      </c>
      <c r="I221" s="1" t="s">
        <v>13</v>
      </c>
      <c r="J221" s="1" t="s">
        <v>14</v>
      </c>
      <c r="K221" s="26">
        <v>1</v>
      </c>
    </row>
    <row r="222" spans="1:11" x14ac:dyDescent="0.25">
      <c r="A222" s="25" t="s">
        <v>11</v>
      </c>
      <c r="B222" s="1" t="s">
        <v>21</v>
      </c>
      <c r="C222" s="2">
        <v>135354</v>
      </c>
      <c r="D222" s="2">
        <v>17299</v>
      </c>
      <c r="E222" s="1">
        <v>24</v>
      </c>
      <c r="F222" s="1">
        <v>1.1599999999999999</v>
      </c>
      <c r="G222" s="1">
        <v>13509</v>
      </c>
      <c r="H222" s="1">
        <v>23.94</v>
      </c>
      <c r="I222" s="1" t="s">
        <v>22</v>
      </c>
      <c r="J222" s="1" t="s">
        <v>17</v>
      </c>
      <c r="K222" s="26">
        <v>5</v>
      </c>
    </row>
    <row r="223" spans="1:11" x14ac:dyDescent="0.25">
      <c r="A223" s="25" t="s">
        <v>11</v>
      </c>
      <c r="B223" s="1" t="s">
        <v>21</v>
      </c>
      <c r="C223" s="2">
        <v>98009</v>
      </c>
      <c r="D223" s="2">
        <v>31090</v>
      </c>
      <c r="E223" s="1">
        <v>745</v>
      </c>
      <c r="F223" s="1">
        <v>3.67</v>
      </c>
      <c r="G223" s="1">
        <v>7248</v>
      </c>
      <c r="H223" s="1">
        <v>22.16</v>
      </c>
      <c r="I223" s="1" t="s">
        <v>13</v>
      </c>
      <c r="J223" s="1" t="s">
        <v>20</v>
      </c>
      <c r="K223" s="26">
        <v>9</v>
      </c>
    </row>
    <row r="224" spans="1:11" x14ac:dyDescent="0.25">
      <c r="A224" s="25" t="s">
        <v>24</v>
      </c>
      <c r="B224" s="1" t="s">
        <v>25</v>
      </c>
      <c r="C224" s="2">
        <v>196481</v>
      </c>
      <c r="D224" s="2">
        <v>22953</v>
      </c>
      <c r="E224" s="1">
        <v>582</v>
      </c>
      <c r="F224" s="1">
        <v>2.29</v>
      </c>
      <c r="G224" s="1">
        <v>6603</v>
      </c>
      <c r="H224" s="1">
        <v>1.91</v>
      </c>
      <c r="I224" s="1" t="s">
        <v>13</v>
      </c>
      <c r="J224" s="1" t="s">
        <v>17</v>
      </c>
      <c r="K224" s="26">
        <v>8</v>
      </c>
    </row>
    <row r="225" spans="1:11" x14ac:dyDescent="0.25">
      <c r="A225" s="25" t="s">
        <v>15</v>
      </c>
      <c r="B225" s="1" t="s">
        <v>21</v>
      </c>
      <c r="C225" s="2">
        <v>38625</v>
      </c>
      <c r="D225" s="2">
        <v>47443</v>
      </c>
      <c r="E225" s="1">
        <v>131</v>
      </c>
      <c r="F225" s="1">
        <v>4.59</v>
      </c>
      <c r="G225" s="1">
        <v>18357</v>
      </c>
      <c r="H225" s="1">
        <v>11.62</v>
      </c>
      <c r="I225" s="1" t="s">
        <v>26</v>
      </c>
      <c r="J225" s="1" t="s">
        <v>20</v>
      </c>
      <c r="K225" s="26">
        <v>8</v>
      </c>
    </row>
    <row r="226" spans="1:11" x14ac:dyDescent="0.25">
      <c r="A226" s="25" t="s">
        <v>24</v>
      </c>
      <c r="B226" s="1" t="s">
        <v>12</v>
      </c>
      <c r="C226" s="2">
        <v>34089</v>
      </c>
      <c r="D226" s="2">
        <v>27475</v>
      </c>
      <c r="E226" s="1">
        <v>286</v>
      </c>
      <c r="F226" s="1">
        <v>4.55</v>
      </c>
      <c r="G226" s="1">
        <v>19065</v>
      </c>
      <c r="H226" s="1">
        <v>8.48</v>
      </c>
      <c r="I226" s="1" t="s">
        <v>26</v>
      </c>
      <c r="J226" s="1" t="s">
        <v>20</v>
      </c>
      <c r="K226" s="26">
        <v>5</v>
      </c>
    </row>
    <row r="227" spans="1:11" x14ac:dyDescent="0.25">
      <c r="A227" s="25" t="s">
        <v>24</v>
      </c>
      <c r="B227" s="1" t="s">
        <v>25</v>
      </c>
      <c r="C227" s="2">
        <v>46487</v>
      </c>
      <c r="D227" s="2">
        <v>19888</v>
      </c>
      <c r="E227" s="1">
        <v>567</v>
      </c>
      <c r="F227" s="1">
        <v>2.2999999999999998</v>
      </c>
      <c r="G227" s="1">
        <v>19980</v>
      </c>
      <c r="H227" s="1">
        <v>9.1300000000000008</v>
      </c>
      <c r="I227" s="1" t="s">
        <v>13</v>
      </c>
      <c r="J227" s="1" t="s">
        <v>20</v>
      </c>
      <c r="K227" s="26">
        <v>9</v>
      </c>
    </row>
    <row r="228" spans="1:11" x14ac:dyDescent="0.25">
      <c r="A228" s="25" t="s">
        <v>18</v>
      </c>
      <c r="B228" s="1" t="s">
        <v>12</v>
      </c>
      <c r="C228" s="2">
        <v>120448</v>
      </c>
      <c r="D228" s="2">
        <v>44732</v>
      </c>
      <c r="E228" s="1">
        <v>462</v>
      </c>
      <c r="F228" s="1">
        <v>4.5999999999999996</v>
      </c>
      <c r="G228" s="1">
        <v>11848</v>
      </c>
      <c r="H228" s="1">
        <v>29.49</v>
      </c>
      <c r="I228" s="1" t="s">
        <v>16</v>
      </c>
      <c r="J228" s="1" t="s">
        <v>20</v>
      </c>
      <c r="K228" s="26">
        <v>3</v>
      </c>
    </row>
    <row r="229" spans="1:11" x14ac:dyDescent="0.25">
      <c r="A229" s="25" t="s">
        <v>24</v>
      </c>
      <c r="B229" s="1" t="s">
        <v>27</v>
      </c>
      <c r="C229" s="2">
        <v>60138</v>
      </c>
      <c r="D229" s="2">
        <v>17087</v>
      </c>
      <c r="E229" s="1">
        <v>399</v>
      </c>
      <c r="F229" s="1">
        <v>4.9800000000000004</v>
      </c>
      <c r="G229" s="1">
        <v>10282</v>
      </c>
      <c r="H229" s="1">
        <v>19.28</v>
      </c>
      <c r="I229" s="1" t="s">
        <v>26</v>
      </c>
      <c r="J229" s="1" t="s">
        <v>20</v>
      </c>
      <c r="K229" s="26">
        <v>3</v>
      </c>
    </row>
    <row r="230" spans="1:11" x14ac:dyDescent="0.25">
      <c r="A230" s="25" t="s">
        <v>18</v>
      </c>
      <c r="B230" s="1" t="s">
        <v>25</v>
      </c>
      <c r="C230" s="2">
        <v>183895</v>
      </c>
      <c r="D230" s="2">
        <v>47305</v>
      </c>
      <c r="E230" s="1">
        <v>303</v>
      </c>
      <c r="F230" s="1">
        <v>4.3</v>
      </c>
      <c r="G230" s="1">
        <v>6382</v>
      </c>
      <c r="H230" s="1">
        <v>21.53</v>
      </c>
      <c r="I230" s="1" t="s">
        <v>13</v>
      </c>
      <c r="J230" s="1" t="s">
        <v>14</v>
      </c>
      <c r="K230" s="26">
        <v>1</v>
      </c>
    </row>
    <row r="231" spans="1:11" x14ac:dyDescent="0.25">
      <c r="A231" s="25" t="s">
        <v>18</v>
      </c>
      <c r="B231" s="1" t="s">
        <v>27</v>
      </c>
      <c r="C231" s="2">
        <v>178280</v>
      </c>
      <c r="D231" s="2">
        <v>47037</v>
      </c>
      <c r="E231" s="1">
        <v>583</v>
      </c>
      <c r="F231" s="1">
        <v>4.38</v>
      </c>
      <c r="G231" s="1">
        <v>6298</v>
      </c>
      <c r="H231" s="1">
        <v>29.3</v>
      </c>
      <c r="I231" s="1" t="s">
        <v>22</v>
      </c>
      <c r="J231" s="1" t="s">
        <v>14</v>
      </c>
      <c r="K231" s="26">
        <v>9</v>
      </c>
    </row>
    <row r="232" spans="1:11" x14ac:dyDescent="0.25">
      <c r="A232" s="25" t="s">
        <v>24</v>
      </c>
      <c r="B232" s="1" t="s">
        <v>25</v>
      </c>
      <c r="C232" s="2">
        <v>64061</v>
      </c>
      <c r="D232" s="2">
        <v>10346</v>
      </c>
      <c r="E232" s="1">
        <v>607</v>
      </c>
      <c r="F232" s="1">
        <v>2</v>
      </c>
      <c r="G232" s="1">
        <v>10127</v>
      </c>
      <c r="H232" s="1">
        <v>11.32</v>
      </c>
      <c r="I232" s="1" t="s">
        <v>16</v>
      </c>
      <c r="J232" s="1" t="s">
        <v>14</v>
      </c>
      <c r="K232" s="26">
        <v>6</v>
      </c>
    </row>
    <row r="233" spans="1:11" x14ac:dyDescent="0.25">
      <c r="A233" s="25" t="s">
        <v>15</v>
      </c>
      <c r="B233" s="1" t="s">
        <v>19</v>
      </c>
      <c r="C233" s="2">
        <v>171731</v>
      </c>
      <c r="D233" s="2">
        <v>1587</v>
      </c>
      <c r="E233" s="1">
        <v>455</v>
      </c>
      <c r="F233" s="1">
        <v>3.31</v>
      </c>
      <c r="G233" s="1">
        <v>8915</v>
      </c>
      <c r="H233" s="1">
        <v>24.06</v>
      </c>
      <c r="I233" s="1" t="s">
        <v>23</v>
      </c>
      <c r="J233" s="1" t="s">
        <v>20</v>
      </c>
      <c r="K233" s="26">
        <v>2</v>
      </c>
    </row>
    <row r="234" spans="1:11" x14ac:dyDescent="0.25">
      <c r="A234" s="25" t="s">
        <v>15</v>
      </c>
      <c r="B234" s="1" t="s">
        <v>21</v>
      </c>
      <c r="C234" s="2">
        <v>111376</v>
      </c>
      <c r="D234" s="2">
        <v>13763</v>
      </c>
      <c r="E234" s="1">
        <v>219</v>
      </c>
      <c r="F234" s="1">
        <v>1.27</v>
      </c>
      <c r="G234" s="1">
        <v>12966</v>
      </c>
      <c r="H234" s="1">
        <v>13.04</v>
      </c>
      <c r="I234" s="1" t="s">
        <v>13</v>
      </c>
      <c r="J234" s="1" t="s">
        <v>17</v>
      </c>
      <c r="K234" s="26">
        <v>8</v>
      </c>
    </row>
    <row r="235" spans="1:11" x14ac:dyDescent="0.25">
      <c r="A235" s="25" t="s">
        <v>15</v>
      </c>
      <c r="B235" s="1" t="s">
        <v>19</v>
      </c>
      <c r="C235" s="2">
        <v>172962</v>
      </c>
      <c r="D235" s="2">
        <v>42945</v>
      </c>
      <c r="E235" s="1">
        <v>599</v>
      </c>
      <c r="F235" s="1">
        <v>1.38</v>
      </c>
      <c r="G235" s="1">
        <v>10346</v>
      </c>
      <c r="H235" s="1">
        <v>26.09</v>
      </c>
      <c r="I235" s="1" t="s">
        <v>13</v>
      </c>
      <c r="J235" s="1" t="s">
        <v>14</v>
      </c>
      <c r="K235" s="26">
        <v>9</v>
      </c>
    </row>
    <row r="236" spans="1:11" x14ac:dyDescent="0.25">
      <c r="A236" s="25" t="s">
        <v>15</v>
      </c>
      <c r="B236" s="1" t="s">
        <v>27</v>
      </c>
      <c r="C236" s="2">
        <v>89134</v>
      </c>
      <c r="D236" s="2">
        <v>5079</v>
      </c>
      <c r="E236" s="1">
        <v>723</v>
      </c>
      <c r="F236" s="1">
        <v>5</v>
      </c>
      <c r="G236" s="1">
        <v>13220</v>
      </c>
      <c r="H236" s="1">
        <v>5.42</v>
      </c>
      <c r="I236" s="1" t="s">
        <v>16</v>
      </c>
      <c r="J236" s="1" t="s">
        <v>17</v>
      </c>
      <c r="K236" s="26">
        <v>9</v>
      </c>
    </row>
    <row r="237" spans="1:11" x14ac:dyDescent="0.25">
      <c r="A237" s="25" t="s">
        <v>15</v>
      </c>
      <c r="B237" s="1" t="s">
        <v>21</v>
      </c>
      <c r="C237" s="2">
        <v>57055</v>
      </c>
      <c r="D237" s="2">
        <v>37116</v>
      </c>
      <c r="E237" s="1">
        <v>311</v>
      </c>
      <c r="F237" s="1">
        <v>2.31</v>
      </c>
      <c r="G237" s="1">
        <v>9645</v>
      </c>
      <c r="H237" s="1">
        <v>28.43</v>
      </c>
      <c r="I237" s="1" t="s">
        <v>26</v>
      </c>
      <c r="J237" s="1" t="s">
        <v>17</v>
      </c>
      <c r="K237" s="26">
        <v>2</v>
      </c>
    </row>
    <row r="238" spans="1:11" x14ac:dyDescent="0.25">
      <c r="A238" s="25" t="s">
        <v>24</v>
      </c>
      <c r="B238" s="1" t="s">
        <v>25</v>
      </c>
      <c r="C238" s="2">
        <v>29508</v>
      </c>
      <c r="D238" s="2">
        <v>21215</v>
      </c>
      <c r="E238" s="1">
        <v>918</v>
      </c>
      <c r="F238" s="1">
        <v>3.99</v>
      </c>
      <c r="G238" s="1">
        <v>5024</v>
      </c>
      <c r="H238" s="1">
        <v>6.56</v>
      </c>
      <c r="I238" s="1" t="s">
        <v>26</v>
      </c>
      <c r="J238" s="1" t="s">
        <v>20</v>
      </c>
      <c r="K238" s="26">
        <v>2</v>
      </c>
    </row>
    <row r="239" spans="1:11" x14ac:dyDescent="0.25">
      <c r="A239" s="25" t="s">
        <v>24</v>
      </c>
      <c r="B239" s="1" t="s">
        <v>21</v>
      </c>
      <c r="C239" s="2">
        <v>183359</v>
      </c>
      <c r="D239" s="2">
        <v>26817</v>
      </c>
      <c r="E239" s="1">
        <v>232</v>
      </c>
      <c r="F239" s="1">
        <v>4.2300000000000004</v>
      </c>
      <c r="G239" s="1">
        <v>7059</v>
      </c>
      <c r="H239" s="1">
        <v>9.7899999999999991</v>
      </c>
      <c r="I239" s="1" t="s">
        <v>26</v>
      </c>
      <c r="J239" s="1" t="s">
        <v>20</v>
      </c>
      <c r="K239" s="26">
        <v>7</v>
      </c>
    </row>
    <row r="240" spans="1:11" x14ac:dyDescent="0.25">
      <c r="A240" s="25" t="s">
        <v>11</v>
      </c>
      <c r="B240" s="1" t="s">
        <v>12</v>
      </c>
      <c r="C240" s="2">
        <v>168056</v>
      </c>
      <c r="D240" s="2">
        <v>25765</v>
      </c>
      <c r="E240" s="1">
        <v>743</v>
      </c>
      <c r="F240" s="1">
        <v>4.43</v>
      </c>
      <c r="G240" s="1">
        <v>8120</v>
      </c>
      <c r="H240" s="1">
        <v>22.69</v>
      </c>
      <c r="I240" s="1" t="s">
        <v>23</v>
      </c>
      <c r="J240" s="1" t="s">
        <v>20</v>
      </c>
      <c r="K240" s="26">
        <v>4</v>
      </c>
    </row>
    <row r="241" spans="1:11" x14ac:dyDescent="0.25">
      <c r="A241" s="25" t="s">
        <v>15</v>
      </c>
      <c r="B241" s="1" t="s">
        <v>21</v>
      </c>
      <c r="C241" s="2">
        <v>120169</v>
      </c>
      <c r="D241" s="2">
        <v>31112</v>
      </c>
      <c r="E241" s="1">
        <v>12</v>
      </c>
      <c r="F241" s="1">
        <v>4.99</v>
      </c>
      <c r="G241" s="1">
        <v>19658</v>
      </c>
      <c r="H241" s="1">
        <v>11.81</v>
      </c>
      <c r="I241" s="1" t="s">
        <v>16</v>
      </c>
      <c r="J241" s="1" t="s">
        <v>14</v>
      </c>
      <c r="K241" s="26">
        <v>1</v>
      </c>
    </row>
    <row r="242" spans="1:11" x14ac:dyDescent="0.25">
      <c r="A242" s="25" t="s">
        <v>24</v>
      </c>
      <c r="B242" s="1" t="s">
        <v>12</v>
      </c>
      <c r="C242" s="2">
        <v>18125</v>
      </c>
      <c r="D242" s="2">
        <v>26556</v>
      </c>
      <c r="E242" s="1">
        <v>999</v>
      </c>
      <c r="F242" s="1">
        <v>1.97</v>
      </c>
      <c r="G242" s="1">
        <v>3624</v>
      </c>
      <c r="H242" s="1">
        <v>18.25</v>
      </c>
      <c r="I242" s="1" t="s">
        <v>16</v>
      </c>
      <c r="J242" s="1" t="s">
        <v>20</v>
      </c>
      <c r="K242" s="26">
        <v>8</v>
      </c>
    </row>
    <row r="243" spans="1:11" x14ac:dyDescent="0.25">
      <c r="A243" s="25" t="s">
        <v>11</v>
      </c>
      <c r="B243" s="1" t="s">
        <v>21</v>
      </c>
      <c r="C243" s="2">
        <v>46059</v>
      </c>
      <c r="D243" s="2">
        <v>19099</v>
      </c>
      <c r="E243" s="1">
        <v>527</v>
      </c>
      <c r="F243" s="1">
        <v>1.1599999999999999</v>
      </c>
      <c r="G243" s="1">
        <v>9171</v>
      </c>
      <c r="H243" s="1">
        <v>13.34</v>
      </c>
      <c r="I243" s="1" t="s">
        <v>26</v>
      </c>
      <c r="J243" s="1" t="s">
        <v>14</v>
      </c>
      <c r="K243" s="26">
        <v>2</v>
      </c>
    </row>
    <row r="244" spans="1:11" x14ac:dyDescent="0.25">
      <c r="A244" s="25" t="s">
        <v>15</v>
      </c>
      <c r="B244" s="1" t="s">
        <v>12</v>
      </c>
      <c r="C244" s="2">
        <v>113409</v>
      </c>
      <c r="D244" s="2">
        <v>44553</v>
      </c>
      <c r="E244" s="1">
        <v>102</v>
      </c>
      <c r="F244" s="1">
        <v>2.64</v>
      </c>
      <c r="G244" s="1">
        <v>12206</v>
      </c>
      <c r="H244" s="1">
        <v>22.27</v>
      </c>
      <c r="I244" s="1" t="s">
        <v>26</v>
      </c>
      <c r="J244" s="1" t="s">
        <v>14</v>
      </c>
      <c r="K244" s="26">
        <v>3</v>
      </c>
    </row>
    <row r="245" spans="1:11" x14ac:dyDescent="0.25">
      <c r="A245" s="25" t="s">
        <v>18</v>
      </c>
      <c r="B245" s="1" t="s">
        <v>27</v>
      </c>
      <c r="C245" s="2">
        <v>158159</v>
      </c>
      <c r="D245" s="2">
        <v>46096</v>
      </c>
      <c r="E245" s="1">
        <v>529</v>
      </c>
      <c r="F245" s="1">
        <v>1.52</v>
      </c>
      <c r="G245" s="1">
        <v>18237</v>
      </c>
      <c r="H245" s="1">
        <v>6.85</v>
      </c>
      <c r="I245" s="1" t="s">
        <v>22</v>
      </c>
      <c r="J245" s="1" t="s">
        <v>14</v>
      </c>
      <c r="K245" s="26">
        <v>5</v>
      </c>
    </row>
    <row r="246" spans="1:11" x14ac:dyDescent="0.25">
      <c r="A246" s="25" t="s">
        <v>11</v>
      </c>
      <c r="B246" s="1" t="s">
        <v>19</v>
      </c>
      <c r="C246" s="2">
        <v>15704</v>
      </c>
      <c r="D246" s="2">
        <v>7450</v>
      </c>
      <c r="E246" s="1">
        <v>437</v>
      </c>
      <c r="F246" s="1">
        <v>1.0900000000000001</v>
      </c>
      <c r="G246" s="1">
        <v>12570</v>
      </c>
      <c r="H246" s="1">
        <v>1.75</v>
      </c>
      <c r="I246" s="1" t="s">
        <v>22</v>
      </c>
      <c r="J246" s="1" t="s">
        <v>14</v>
      </c>
      <c r="K246" s="26">
        <v>3</v>
      </c>
    </row>
    <row r="247" spans="1:11" x14ac:dyDescent="0.25">
      <c r="A247" s="25" t="s">
        <v>24</v>
      </c>
      <c r="B247" s="1" t="s">
        <v>25</v>
      </c>
      <c r="C247" s="2">
        <v>121279</v>
      </c>
      <c r="D247" s="2">
        <v>14230</v>
      </c>
      <c r="E247" s="1">
        <v>502</v>
      </c>
      <c r="F247" s="1">
        <v>2.44</v>
      </c>
      <c r="G247" s="1">
        <v>8634</v>
      </c>
      <c r="H247" s="1">
        <v>9</v>
      </c>
      <c r="I247" s="1" t="s">
        <v>13</v>
      </c>
      <c r="J247" s="1" t="s">
        <v>20</v>
      </c>
      <c r="K247" s="26">
        <v>7</v>
      </c>
    </row>
    <row r="248" spans="1:11" x14ac:dyDescent="0.25">
      <c r="A248" s="25" t="s">
        <v>18</v>
      </c>
      <c r="B248" s="1" t="s">
        <v>21</v>
      </c>
      <c r="C248" s="2">
        <v>168280</v>
      </c>
      <c r="D248" s="2">
        <v>30009</v>
      </c>
      <c r="E248" s="1">
        <v>244</v>
      </c>
      <c r="F248" s="1">
        <v>4.13</v>
      </c>
      <c r="G248" s="1">
        <v>1424</v>
      </c>
      <c r="H248" s="1">
        <v>14.23</v>
      </c>
      <c r="I248" s="1" t="s">
        <v>13</v>
      </c>
      <c r="J248" s="1" t="s">
        <v>14</v>
      </c>
      <c r="K248" s="26">
        <v>7</v>
      </c>
    </row>
    <row r="249" spans="1:11" x14ac:dyDescent="0.25">
      <c r="A249" s="25" t="s">
        <v>18</v>
      </c>
      <c r="B249" s="1" t="s">
        <v>19</v>
      </c>
      <c r="C249" s="2">
        <v>128516</v>
      </c>
      <c r="D249" s="2">
        <v>6433</v>
      </c>
      <c r="E249" s="1">
        <v>629</v>
      </c>
      <c r="F249" s="1">
        <v>3.26</v>
      </c>
      <c r="G249" s="1">
        <v>19054</v>
      </c>
      <c r="H249" s="1">
        <v>5.04</v>
      </c>
      <c r="I249" s="1" t="s">
        <v>16</v>
      </c>
      <c r="J249" s="1" t="s">
        <v>20</v>
      </c>
      <c r="K249" s="26">
        <v>2</v>
      </c>
    </row>
    <row r="250" spans="1:11" x14ac:dyDescent="0.25">
      <c r="A250" s="25" t="s">
        <v>18</v>
      </c>
      <c r="B250" s="1" t="s">
        <v>25</v>
      </c>
      <c r="C250" s="2">
        <v>180954</v>
      </c>
      <c r="D250" s="2">
        <v>34866</v>
      </c>
      <c r="E250" s="1">
        <v>170</v>
      </c>
      <c r="F250" s="1">
        <v>2.25</v>
      </c>
      <c r="G250" s="1">
        <v>6006</v>
      </c>
      <c r="H250" s="1">
        <v>10.64</v>
      </c>
      <c r="I250" s="1" t="s">
        <v>16</v>
      </c>
      <c r="J250" s="1" t="s">
        <v>20</v>
      </c>
      <c r="K250" s="26">
        <v>7</v>
      </c>
    </row>
    <row r="251" spans="1:11" x14ac:dyDescent="0.25">
      <c r="A251" s="25" t="s">
        <v>11</v>
      </c>
      <c r="B251" s="1" t="s">
        <v>25</v>
      </c>
      <c r="C251" s="2">
        <v>166995</v>
      </c>
      <c r="D251" s="2">
        <v>40864</v>
      </c>
      <c r="E251" s="1">
        <v>730</v>
      </c>
      <c r="F251" s="1">
        <v>3.62</v>
      </c>
      <c r="G251" s="1">
        <v>14150</v>
      </c>
      <c r="H251" s="1">
        <v>12</v>
      </c>
      <c r="I251" s="1" t="s">
        <v>23</v>
      </c>
      <c r="J251" s="1" t="s">
        <v>14</v>
      </c>
      <c r="K251" s="26">
        <v>6</v>
      </c>
    </row>
    <row r="252" spans="1:11" x14ac:dyDescent="0.25">
      <c r="A252" s="25" t="s">
        <v>24</v>
      </c>
      <c r="B252" s="1" t="s">
        <v>12</v>
      </c>
      <c r="C252" s="2">
        <v>124044</v>
      </c>
      <c r="D252" s="2">
        <v>19710</v>
      </c>
      <c r="E252" s="1">
        <v>761</v>
      </c>
      <c r="F252" s="1">
        <v>1.93</v>
      </c>
      <c r="G252" s="1">
        <v>2895</v>
      </c>
      <c r="H252" s="1">
        <v>1.72</v>
      </c>
      <c r="I252" s="1" t="s">
        <v>23</v>
      </c>
      <c r="J252" s="1" t="s">
        <v>20</v>
      </c>
      <c r="K252" s="26">
        <v>9</v>
      </c>
    </row>
    <row r="253" spans="1:11" x14ac:dyDescent="0.25">
      <c r="A253" s="25" t="s">
        <v>18</v>
      </c>
      <c r="B253" s="1" t="s">
        <v>27</v>
      </c>
      <c r="C253" s="2">
        <v>39165</v>
      </c>
      <c r="D253" s="2">
        <v>12439</v>
      </c>
      <c r="E253" s="1">
        <v>340</v>
      </c>
      <c r="F253" s="1">
        <v>1.06</v>
      </c>
      <c r="G253" s="1">
        <v>15810</v>
      </c>
      <c r="H253" s="1">
        <v>17.5</v>
      </c>
      <c r="I253" s="1" t="s">
        <v>22</v>
      </c>
      <c r="J253" s="1" t="s">
        <v>17</v>
      </c>
      <c r="K253" s="26">
        <v>9</v>
      </c>
    </row>
    <row r="254" spans="1:11" x14ac:dyDescent="0.25">
      <c r="A254" s="25" t="s">
        <v>15</v>
      </c>
      <c r="B254" s="1" t="s">
        <v>27</v>
      </c>
      <c r="C254" s="2">
        <v>77203</v>
      </c>
      <c r="D254" s="2">
        <v>42855</v>
      </c>
      <c r="E254" s="1">
        <v>342</v>
      </c>
      <c r="F254" s="1">
        <v>4.0599999999999996</v>
      </c>
      <c r="G254" s="1">
        <v>8726</v>
      </c>
      <c r="H254" s="1">
        <v>26.53</v>
      </c>
      <c r="I254" s="1" t="s">
        <v>13</v>
      </c>
      <c r="J254" s="1" t="s">
        <v>20</v>
      </c>
      <c r="K254" s="26">
        <v>2</v>
      </c>
    </row>
    <row r="255" spans="1:11" x14ac:dyDescent="0.25">
      <c r="A255" s="25" t="s">
        <v>18</v>
      </c>
      <c r="B255" s="1" t="s">
        <v>19</v>
      </c>
      <c r="C255" s="2">
        <v>14114</v>
      </c>
      <c r="D255" s="2">
        <v>17021</v>
      </c>
      <c r="E255" s="1">
        <v>59</v>
      </c>
      <c r="F255" s="1">
        <v>3.49</v>
      </c>
      <c r="G255" s="1">
        <v>12281</v>
      </c>
      <c r="H255" s="1">
        <v>4.55</v>
      </c>
      <c r="I255" s="1" t="s">
        <v>22</v>
      </c>
      <c r="J255" s="1" t="s">
        <v>20</v>
      </c>
      <c r="K255" s="26">
        <v>7</v>
      </c>
    </row>
    <row r="256" spans="1:11" x14ac:dyDescent="0.25">
      <c r="A256" s="25" t="s">
        <v>18</v>
      </c>
      <c r="B256" s="1" t="s">
        <v>27</v>
      </c>
      <c r="C256" s="2">
        <v>46321</v>
      </c>
      <c r="D256" s="2">
        <v>7416</v>
      </c>
      <c r="E256" s="1">
        <v>532</v>
      </c>
      <c r="F256" s="1">
        <v>4.05</v>
      </c>
      <c r="G256" s="1">
        <v>6015</v>
      </c>
      <c r="H256" s="1">
        <v>17.93</v>
      </c>
      <c r="I256" s="1" t="s">
        <v>22</v>
      </c>
      <c r="J256" s="1" t="s">
        <v>14</v>
      </c>
      <c r="K256" s="26">
        <v>5</v>
      </c>
    </row>
    <row r="257" spans="1:11" x14ac:dyDescent="0.25">
      <c r="A257" s="25" t="s">
        <v>11</v>
      </c>
      <c r="B257" s="1" t="s">
        <v>21</v>
      </c>
      <c r="C257" s="2">
        <v>83297</v>
      </c>
      <c r="D257" s="2">
        <v>7980</v>
      </c>
      <c r="E257" s="1">
        <v>872</v>
      </c>
      <c r="F257" s="1">
        <v>1.1599999999999999</v>
      </c>
      <c r="G257" s="1">
        <v>19554</v>
      </c>
      <c r="H257" s="1">
        <v>19.940000000000001</v>
      </c>
      <c r="I257" s="1" t="s">
        <v>13</v>
      </c>
      <c r="J257" s="1" t="s">
        <v>14</v>
      </c>
      <c r="K257" s="26">
        <v>6</v>
      </c>
    </row>
    <row r="258" spans="1:11" x14ac:dyDescent="0.25">
      <c r="A258" s="25" t="s">
        <v>11</v>
      </c>
      <c r="B258" s="1" t="s">
        <v>27</v>
      </c>
      <c r="C258" s="2">
        <v>106652</v>
      </c>
      <c r="D258" s="2">
        <v>19058</v>
      </c>
      <c r="E258" s="1">
        <v>677</v>
      </c>
      <c r="F258" s="1">
        <v>4.3499999999999996</v>
      </c>
      <c r="G258" s="1">
        <v>3865</v>
      </c>
      <c r="H258" s="1">
        <v>12.58</v>
      </c>
      <c r="I258" s="1" t="s">
        <v>23</v>
      </c>
      <c r="J258" s="1" t="s">
        <v>20</v>
      </c>
      <c r="K258" s="26">
        <v>1</v>
      </c>
    </row>
    <row r="259" spans="1:11" x14ac:dyDescent="0.25">
      <c r="A259" s="25" t="s">
        <v>24</v>
      </c>
      <c r="B259" s="1" t="s">
        <v>19</v>
      </c>
      <c r="C259" s="2">
        <v>109304</v>
      </c>
      <c r="D259" s="2">
        <v>12101</v>
      </c>
      <c r="E259" s="1">
        <v>501</v>
      </c>
      <c r="F259" s="1">
        <v>3.48</v>
      </c>
      <c r="G259" s="1">
        <v>17472</v>
      </c>
      <c r="H259" s="1">
        <v>21.03</v>
      </c>
      <c r="I259" s="1" t="s">
        <v>13</v>
      </c>
      <c r="J259" s="1" t="s">
        <v>14</v>
      </c>
      <c r="K259" s="26">
        <v>7</v>
      </c>
    </row>
    <row r="260" spans="1:11" x14ac:dyDescent="0.25">
      <c r="A260" s="25" t="s">
        <v>15</v>
      </c>
      <c r="B260" s="1" t="s">
        <v>27</v>
      </c>
      <c r="C260" s="2">
        <v>166498</v>
      </c>
      <c r="D260" s="2">
        <v>41718</v>
      </c>
      <c r="E260" s="1">
        <v>591</v>
      </c>
      <c r="F260" s="1">
        <v>3.25</v>
      </c>
      <c r="G260" s="1">
        <v>11910</v>
      </c>
      <c r="H260" s="1">
        <v>12.32</v>
      </c>
      <c r="I260" s="1" t="s">
        <v>26</v>
      </c>
      <c r="J260" s="1" t="s">
        <v>17</v>
      </c>
      <c r="K260" s="26">
        <v>6</v>
      </c>
    </row>
    <row r="261" spans="1:11" x14ac:dyDescent="0.25">
      <c r="A261" s="25" t="s">
        <v>11</v>
      </c>
      <c r="B261" s="1" t="s">
        <v>21</v>
      </c>
      <c r="C261" s="2">
        <v>27772</v>
      </c>
      <c r="D261" s="2">
        <v>33602</v>
      </c>
      <c r="E261" s="1">
        <v>690</v>
      </c>
      <c r="F261" s="1">
        <v>3.5</v>
      </c>
      <c r="G261" s="1">
        <v>9595</v>
      </c>
      <c r="H261" s="1">
        <v>15.14</v>
      </c>
      <c r="I261" s="1" t="s">
        <v>26</v>
      </c>
      <c r="J261" s="1" t="s">
        <v>17</v>
      </c>
      <c r="K261" s="26">
        <v>4</v>
      </c>
    </row>
    <row r="262" spans="1:11" x14ac:dyDescent="0.25">
      <c r="A262" s="25" t="s">
        <v>18</v>
      </c>
      <c r="B262" s="1" t="s">
        <v>12</v>
      </c>
      <c r="C262" s="2">
        <v>113754</v>
      </c>
      <c r="D262" s="2">
        <v>10122</v>
      </c>
      <c r="E262" s="1">
        <v>281</v>
      </c>
      <c r="F262" s="1">
        <v>4.46</v>
      </c>
      <c r="G262" s="1">
        <v>10861</v>
      </c>
      <c r="H262" s="1">
        <v>0.22</v>
      </c>
      <c r="I262" s="1" t="s">
        <v>26</v>
      </c>
      <c r="J262" s="1" t="s">
        <v>14</v>
      </c>
      <c r="K262" s="26">
        <v>1</v>
      </c>
    </row>
    <row r="263" spans="1:11" x14ac:dyDescent="0.25">
      <c r="A263" s="25" t="s">
        <v>24</v>
      </c>
      <c r="B263" s="1" t="s">
        <v>19</v>
      </c>
      <c r="C263" s="2">
        <v>13712</v>
      </c>
      <c r="D263" s="2">
        <v>13576</v>
      </c>
      <c r="E263" s="1">
        <v>589</v>
      </c>
      <c r="F263" s="1">
        <v>3.35</v>
      </c>
      <c r="G263" s="1">
        <v>9031</v>
      </c>
      <c r="H263" s="1">
        <v>20.75</v>
      </c>
      <c r="I263" s="1" t="s">
        <v>16</v>
      </c>
      <c r="J263" s="1" t="s">
        <v>20</v>
      </c>
      <c r="K263" s="26">
        <v>9</v>
      </c>
    </row>
    <row r="264" spans="1:11" x14ac:dyDescent="0.25">
      <c r="A264" s="25" t="s">
        <v>18</v>
      </c>
      <c r="B264" s="1" t="s">
        <v>12</v>
      </c>
      <c r="C264" s="2">
        <v>142439</v>
      </c>
      <c r="D264" s="2">
        <v>28516</v>
      </c>
      <c r="E264" s="1">
        <v>876</v>
      </c>
      <c r="F264" s="1">
        <v>3.32</v>
      </c>
      <c r="G264" s="1">
        <v>4770</v>
      </c>
      <c r="H264" s="1">
        <v>19.84</v>
      </c>
      <c r="I264" s="1" t="s">
        <v>23</v>
      </c>
      <c r="J264" s="1" t="s">
        <v>17</v>
      </c>
      <c r="K264" s="26">
        <v>4</v>
      </c>
    </row>
    <row r="265" spans="1:11" x14ac:dyDescent="0.25">
      <c r="A265" s="25" t="s">
        <v>18</v>
      </c>
      <c r="B265" s="1" t="s">
        <v>12</v>
      </c>
      <c r="C265" s="2">
        <v>125142</v>
      </c>
      <c r="D265" s="2">
        <v>23433</v>
      </c>
      <c r="E265" s="1">
        <v>261</v>
      </c>
      <c r="F265" s="1">
        <v>4.96</v>
      </c>
      <c r="G265" s="1">
        <v>10406</v>
      </c>
      <c r="H265" s="1">
        <v>1.1499999999999999</v>
      </c>
      <c r="I265" s="1" t="s">
        <v>23</v>
      </c>
      <c r="J265" s="1" t="s">
        <v>17</v>
      </c>
      <c r="K265" s="26">
        <v>2</v>
      </c>
    </row>
    <row r="266" spans="1:11" x14ac:dyDescent="0.25">
      <c r="A266" s="25" t="s">
        <v>11</v>
      </c>
      <c r="B266" s="1" t="s">
        <v>12</v>
      </c>
      <c r="C266" s="2">
        <v>101736</v>
      </c>
      <c r="D266" s="2">
        <v>2089</v>
      </c>
      <c r="E266" s="1">
        <v>569</v>
      </c>
      <c r="F266" s="1">
        <v>4.03</v>
      </c>
      <c r="G266" s="1">
        <v>17440</v>
      </c>
      <c r="H266" s="1">
        <v>11.05</v>
      </c>
      <c r="I266" s="1" t="s">
        <v>16</v>
      </c>
      <c r="J266" s="1" t="s">
        <v>20</v>
      </c>
      <c r="K266" s="26">
        <v>8</v>
      </c>
    </row>
    <row r="267" spans="1:11" x14ac:dyDescent="0.25">
      <c r="A267" s="25" t="s">
        <v>24</v>
      </c>
      <c r="B267" s="1" t="s">
        <v>25</v>
      </c>
      <c r="C267" s="2">
        <v>61924</v>
      </c>
      <c r="D267" s="2">
        <v>38346</v>
      </c>
      <c r="E267" s="1">
        <v>705</v>
      </c>
      <c r="F267" s="1">
        <v>2.77</v>
      </c>
      <c r="G267" s="1">
        <v>11779</v>
      </c>
      <c r="H267" s="1">
        <v>29.37</v>
      </c>
      <c r="I267" s="1" t="s">
        <v>22</v>
      </c>
      <c r="J267" s="1" t="s">
        <v>14</v>
      </c>
      <c r="K267" s="26">
        <v>2</v>
      </c>
    </row>
    <row r="268" spans="1:11" x14ac:dyDescent="0.25">
      <c r="A268" s="25" t="s">
        <v>15</v>
      </c>
      <c r="B268" s="1" t="s">
        <v>25</v>
      </c>
      <c r="C268" s="2">
        <v>13726</v>
      </c>
      <c r="D268" s="2">
        <v>10127</v>
      </c>
      <c r="E268" s="1">
        <v>841</v>
      </c>
      <c r="F268" s="1">
        <v>3.83</v>
      </c>
      <c r="G268" s="1">
        <v>5952</v>
      </c>
      <c r="H268" s="1">
        <v>12.62</v>
      </c>
      <c r="I268" s="1" t="s">
        <v>26</v>
      </c>
      <c r="J268" s="1" t="s">
        <v>17</v>
      </c>
      <c r="K268" s="26">
        <v>5</v>
      </c>
    </row>
    <row r="269" spans="1:11" x14ac:dyDescent="0.25">
      <c r="A269" s="25" t="s">
        <v>15</v>
      </c>
      <c r="B269" s="1" t="s">
        <v>12</v>
      </c>
      <c r="C269" s="2">
        <v>99152</v>
      </c>
      <c r="D269" s="2">
        <v>11487</v>
      </c>
      <c r="E269" s="1">
        <v>708</v>
      </c>
      <c r="F269" s="1">
        <v>2.56</v>
      </c>
      <c r="G269" s="1">
        <v>6977</v>
      </c>
      <c r="H269" s="1">
        <v>15.06</v>
      </c>
      <c r="I269" s="1" t="s">
        <v>26</v>
      </c>
      <c r="J269" s="1" t="s">
        <v>20</v>
      </c>
      <c r="K269" s="26">
        <v>6</v>
      </c>
    </row>
    <row r="270" spans="1:11" x14ac:dyDescent="0.25">
      <c r="A270" s="25" t="s">
        <v>11</v>
      </c>
      <c r="B270" s="1" t="s">
        <v>19</v>
      </c>
      <c r="C270" s="2">
        <v>37723</v>
      </c>
      <c r="D270" s="2">
        <v>1155</v>
      </c>
      <c r="E270" s="1">
        <v>99</v>
      </c>
      <c r="F270" s="1">
        <v>1.92</v>
      </c>
      <c r="G270" s="1">
        <v>17900</v>
      </c>
      <c r="H270" s="1">
        <v>27.3</v>
      </c>
      <c r="I270" s="1" t="s">
        <v>22</v>
      </c>
      <c r="J270" s="1" t="s">
        <v>20</v>
      </c>
      <c r="K270" s="26">
        <v>8</v>
      </c>
    </row>
    <row r="271" spans="1:11" x14ac:dyDescent="0.25">
      <c r="A271" s="25" t="s">
        <v>11</v>
      </c>
      <c r="B271" s="1" t="s">
        <v>21</v>
      </c>
      <c r="C271" s="2">
        <v>136969</v>
      </c>
      <c r="D271" s="2">
        <v>2958</v>
      </c>
      <c r="E271" s="1">
        <v>455</v>
      </c>
      <c r="F271" s="1">
        <v>3.39</v>
      </c>
      <c r="G271" s="1">
        <v>6970</v>
      </c>
      <c r="H271" s="1">
        <v>21.52</v>
      </c>
      <c r="I271" s="1" t="s">
        <v>13</v>
      </c>
      <c r="J271" s="1" t="s">
        <v>17</v>
      </c>
      <c r="K271" s="26">
        <v>1</v>
      </c>
    </row>
    <row r="272" spans="1:11" x14ac:dyDescent="0.25">
      <c r="A272" s="25" t="s">
        <v>24</v>
      </c>
      <c r="B272" s="1" t="s">
        <v>21</v>
      </c>
      <c r="C272" s="2">
        <v>110494</v>
      </c>
      <c r="D272" s="2">
        <v>11693</v>
      </c>
      <c r="E272" s="1">
        <v>341</v>
      </c>
      <c r="F272" s="1">
        <v>4.71</v>
      </c>
      <c r="G272" s="1">
        <v>2562</v>
      </c>
      <c r="H272" s="1">
        <v>17.46</v>
      </c>
      <c r="I272" s="1" t="s">
        <v>13</v>
      </c>
      <c r="J272" s="1" t="s">
        <v>14</v>
      </c>
      <c r="K272" s="26">
        <v>1</v>
      </c>
    </row>
    <row r="273" spans="1:11" x14ac:dyDescent="0.25">
      <c r="A273" s="25" t="s">
        <v>15</v>
      </c>
      <c r="B273" s="1" t="s">
        <v>27</v>
      </c>
      <c r="C273" s="2">
        <v>150180</v>
      </c>
      <c r="D273" s="2">
        <v>40112</v>
      </c>
      <c r="E273" s="1">
        <v>148</v>
      </c>
      <c r="F273" s="1">
        <v>4.72</v>
      </c>
      <c r="G273" s="1">
        <v>9530</v>
      </c>
      <c r="H273" s="1">
        <v>23.93</v>
      </c>
      <c r="I273" s="1" t="s">
        <v>23</v>
      </c>
      <c r="J273" s="1" t="s">
        <v>17</v>
      </c>
      <c r="K273" s="26">
        <v>4</v>
      </c>
    </row>
    <row r="274" spans="1:11" x14ac:dyDescent="0.25">
      <c r="A274" s="25" t="s">
        <v>15</v>
      </c>
      <c r="B274" s="1" t="s">
        <v>19</v>
      </c>
      <c r="C274" s="2">
        <v>45643</v>
      </c>
      <c r="D274" s="2">
        <v>39547</v>
      </c>
      <c r="E274" s="1">
        <v>366</v>
      </c>
      <c r="F274" s="1">
        <v>2.37</v>
      </c>
      <c r="G274" s="1">
        <v>2313</v>
      </c>
      <c r="H274" s="1">
        <v>25.93</v>
      </c>
      <c r="I274" s="1" t="s">
        <v>16</v>
      </c>
      <c r="J274" s="1" t="s">
        <v>20</v>
      </c>
      <c r="K274" s="26">
        <v>5</v>
      </c>
    </row>
    <row r="275" spans="1:11" x14ac:dyDescent="0.25">
      <c r="A275" s="25" t="s">
        <v>15</v>
      </c>
      <c r="B275" s="1" t="s">
        <v>25</v>
      </c>
      <c r="C275" s="2">
        <v>172396</v>
      </c>
      <c r="D275" s="2">
        <v>29795</v>
      </c>
      <c r="E275" s="1">
        <v>610</v>
      </c>
      <c r="F275" s="1">
        <v>3.11</v>
      </c>
      <c r="G275" s="1">
        <v>12171</v>
      </c>
      <c r="H275" s="1">
        <v>13.71</v>
      </c>
      <c r="I275" s="1" t="s">
        <v>23</v>
      </c>
      <c r="J275" s="1" t="s">
        <v>17</v>
      </c>
      <c r="K275" s="26">
        <v>9</v>
      </c>
    </row>
    <row r="276" spans="1:11" x14ac:dyDescent="0.25">
      <c r="A276" s="25" t="s">
        <v>18</v>
      </c>
      <c r="B276" s="1" t="s">
        <v>12</v>
      </c>
      <c r="C276" s="2">
        <v>113896</v>
      </c>
      <c r="D276" s="2">
        <v>22447</v>
      </c>
      <c r="E276" s="1">
        <v>283</v>
      </c>
      <c r="F276" s="1">
        <v>1.85</v>
      </c>
      <c r="G276" s="1">
        <v>14808</v>
      </c>
      <c r="H276" s="1">
        <v>14.25</v>
      </c>
      <c r="I276" s="1" t="s">
        <v>13</v>
      </c>
      <c r="J276" s="1" t="s">
        <v>14</v>
      </c>
      <c r="K276" s="26">
        <v>7</v>
      </c>
    </row>
    <row r="277" spans="1:11" x14ac:dyDescent="0.25">
      <c r="A277" s="25" t="s">
        <v>15</v>
      </c>
      <c r="B277" s="1" t="s">
        <v>27</v>
      </c>
      <c r="C277" s="2">
        <v>149999</v>
      </c>
      <c r="D277" s="2">
        <v>37598</v>
      </c>
      <c r="E277" s="1">
        <v>28</v>
      </c>
      <c r="F277" s="1">
        <v>4.9800000000000004</v>
      </c>
      <c r="G277" s="1">
        <v>2813</v>
      </c>
      <c r="H277" s="1">
        <v>11.58</v>
      </c>
      <c r="I277" s="1" t="s">
        <v>22</v>
      </c>
      <c r="J277" s="1" t="s">
        <v>20</v>
      </c>
      <c r="K277" s="26">
        <v>7</v>
      </c>
    </row>
    <row r="278" spans="1:11" x14ac:dyDescent="0.25">
      <c r="A278" s="25" t="s">
        <v>18</v>
      </c>
      <c r="B278" s="1" t="s">
        <v>21</v>
      </c>
      <c r="C278" s="2">
        <v>103680</v>
      </c>
      <c r="D278" s="2">
        <v>42814</v>
      </c>
      <c r="E278" s="1">
        <v>992</v>
      </c>
      <c r="F278" s="1">
        <v>4.92</v>
      </c>
      <c r="G278" s="1">
        <v>10206</v>
      </c>
      <c r="H278" s="1">
        <v>29</v>
      </c>
      <c r="I278" s="1" t="s">
        <v>23</v>
      </c>
      <c r="J278" s="1" t="s">
        <v>14</v>
      </c>
      <c r="K278" s="26">
        <v>8</v>
      </c>
    </row>
    <row r="279" spans="1:11" x14ac:dyDescent="0.25">
      <c r="A279" s="25" t="s">
        <v>24</v>
      </c>
      <c r="B279" s="1" t="s">
        <v>25</v>
      </c>
      <c r="C279" s="2">
        <v>106546</v>
      </c>
      <c r="D279" s="2">
        <v>26215</v>
      </c>
      <c r="E279" s="1">
        <v>320</v>
      </c>
      <c r="F279" s="1">
        <v>3.6</v>
      </c>
      <c r="G279" s="1">
        <v>18115</v>
      </c>
      <c r="H279" s="1">
        <v>20.91</v>
      </c>
      <c r="I279" s="1" t="s">
        <v>26</v>
      </c>
      <c r="J279" s="1" t="s">
        <v>17</v>
      </c>
      <c r="K279" s="26">
        <v>5</v>
      </c>
    </row>
    <row r="280" spans="1:11" x14ac:dyDescent="0.25">
      <c r="A280" s="25" t="s">
        <v>18</v>
      </c>
      <c r="B280" s="1" t="s">
        <v>25</v>
      </c>
      <c r="C280" s="2">
        <v>163515</v>
      </c>
      <c r="D280" s="2">
        <v>10794</v>
      </c>
      <c r="E280" s="1">
        <v>879</v>
      </c>
      <c r="F280" s="1">
        <v>4.22</v>
      </c>
      <c r="G280" s="1">
        <v>10337</v>
      </c>
      <c r="H280" s="1">
        <v>2.5</v>
      </c>
      <c r="I280" s="1" t="s">
        <v>26</v>
      </c>
      <c r="J280" s="1" t="s">
        <v>17</v>
      </c>
      <c r="K280" s="26">
        <v>5</v>
      </c>
    </row>
    <row r="281" spans="1:11" x14ac:dyDescent="0.25">
      <c r="A281" s="25" t="s">
        <v>24</v>
      </c>
      <c r="B281" s="1" t="s">
        <v>12</v>
      </c>
      <c r="C281" s="2">
        <v>89973</v>
      </c>
      <c r="D281" s="2">
        <v>34209</v>
      </c>
      <c r="E281" s="1">
        <v>895</v>
      </c>
      <c r="F281" s="1">
        <v>3.86</v>
      </c>
      <c r="G281" s="1">
        <v>6331</v>
      </c>
      <c r="H281" s="1">
        <v>25.89</v>
      </c>
      <c r="I281" s="1" t="s">
        <v>22</v>
      </c>
      <c r="J281" s="1" t="s">
        <v>14</v>
      </c>
      <c r="K281" s="26">
        <v>1</v>
      </c>
    </row>
    <row r="282" spans="1:11" x14ac:dyDescent="0.25">
      <c r="A282" s="25" t="s">
        <v>15</v>
      </c>
      <c r="B282" s="1" t="s">
        <v>21</v>
      </c>
      <c r="C282" s="2">
        <v>73449</v>
      </c>
      <c r="D282" s="2">
        <v>23424</v>
      </c>
      <c r="E282" s="1">
        <v>987</v>
      </c>
      <c r="F282" s="1">
        <v>3.37</v>
      </c>
      <c r="G282" s="1">
        <v>19883</v>
      </c>
      <c r="H282" s="1">
        <v>14.42</v>
      </c>
      <c r="I282" s="1" t="s">
        <v>13</v>
      </c>
      <c r="J282" s="1" t="s">
        <v>17</v>
      </c>
      <c r="K282" s="26">
        <v>9</v>
      </c>
    </row>
    <row r="283" spans="1:11" x14ac:dyDescent="0.25">
      <c r="A283" s="25" t="s">
        <v>15</v>
      </c>
      <c r="B283" s="1" t="s">
        <v>19</v>
      </c>
      <c r="C283" s="2">
        <v>119834</v>
      </c>
      <c r="D283" s="2">
        <v>48246</v>
      </c>
      <c r="E283" s="1">
        <v>163</v>
      </c>
      <c r="F283" s="1">
        <v>1.21</v>
      </c>
      <c r="G283" s="1">
        <v>4556</v>
      </c>
      <c r="H283" s="1">
        <v>2.06</v>
      </c>
      <c r="I283" s="1" t="s">
        <v>26</v>
      </c>
      <c r="J283" s="1" t="s">
        <v>14</v>
      </c>
      <c r="K283" s="26">
        <v>6</v>
      </c>
    </row>
    <row r="284" spans="1:11" x14ac:dyDescent="0.25">
      <c r="A284" s="25" t="s">
        <v>24</v>
      </c>
      <c r="B284" s="1" t="s">
        <v>25</v>
      </c>
      <c r="C284" s="2">
        <v>35537</v>
      </c>
      <c r="D284" s="2">
        <v>38396</v>
      </c>
      <c r="E284" s="1">
        <v>399</v>
      </c>
      <c r="F284" s="1">
        <v>2.82</v>
      </c>
      <c r="G284" s="1">
        <v>805</v>
      </c>
      <c r="H284" s="1">
        <v>16.489999999999998</v>
      </c>
      <c r="I284" s="1" t="s">
        <v>26</v>
      </c>
      <c r="J284" s="1" t="s">
        <v>17</v>
      </c>
      <c r="K284" s="26">
        <v>9</v>
      </c>
    </row>
    <row r="285" spans="1:11" x14ac:dyDescent="0.25">
      <c r="A285" s="25" t="s">
        <v>11</v>
      </c>
      <c r="B285" s="1" t="s">
        <v>12</v>
      </c>
      <c r="C285" s="2">
        <v>87576</v>
      </c>
      <c r="D285" s="2">
        <v>7370</v>
      </c>
      <c r="E285" s="1">
        <v>269</v>
      </c>
      <c r="F285" s="1">
        <v>3.7</v>
      </c>
      <c r="G285" s="1">
        <v>14847</v>
      </c>
      <c r="H285" s="1">
        <v>12.51</v>
      </c>
      <c r="I285" s="1" t="s">
        <v>16</v>
      </c>
      <c r="J285" s="1" t="s">
        <v>14</v>
      </c>
      <c r="K285" s="26">
        <v>3</v>
      </c>
    </row>
    <row r="286" spans="1:11" x14ac:dyDescent="0.25">
      <c r="A286" s="25" t="s">
        <v>24</v>
      </c>
      <c r="B286" s="1" t="s">
        <v>19</v>
      </c>
      <c r="C286" s="2">
        <v>117522</v>
      </c>
      <c r="D286" s="2">
        <v>10528</v>
      </c>
      <c r="E286" s="1">
        <v>629</v>
      </c>
      <c r="F286" s="1">
        <v>3.71</v>
      </c>
      <c r="G286" s="1">
        <v>2189</v>
      </c>
      <c r="H286" s="1">
        <v>26.33</v>
      </c>
      <c r="I286" s="1" t="s">
        <v>23</v>
      </c>
      <c r="J286" s="1" t="s">
        <v>14</v>
      </c>
      <c r="K286" s="26">
        <v>5</v>
      </c>
    </row>
    <row r="287" spans="1:11" x14ac:dyDescent="0.25">
      <c r="A287" s="25" t="s">
        <v>11</v>
      </c>
      <c r="B287" s="1" t="s">
        <v>21</v>
      </c>
      <c r="C287" s="2">
        <v>32612</v>
      </c>
      <c r="D287" s="2">
        <v>29276</v>
      </c>
      <c r="E287" s="1">
        <v>892</v>
      </c>
      <c r="F287" s="1">
        <v>2.4900000000000002</v>
      </c>
      <c r="G287" s="1">
        <v>4417</v>
      </c>
      <c r="H287" s="1">
        <v>6.12</v>
      </c>
      <c r="I287" s="1" t="s">
        <v>13</v>
      </c>
      <c r="J287" s="1" t="s">
        <v>20</v>
      </c>
      <c r="K287" s="26">
        <v>2</v>
      </c>
    </row>
    <row r="288" spans="1:11" x14ac:dyDescent="0.25">
      <c r="A288" s="25" t="s">
        <v>18</v>
      </c>
      <c r="B288" s="1" t="s">
        <v>25</v>
      </c>
      <c r="C288" s="2">
        <v>16471</v>
      </c>
      <c r="D288" s="2">
        <v>45333</v>
      </c>
      <c r="E288" s="1">
        <v>806</v>
      </c>
      <c r="F288" s="1">
        <v>4.7699999999999996</v>
      </c>
      <c r="G288" s="1">
        <v>3436</v>
      </c>
      <c r="H288" s="1">
        <v>24.79</v>
      </c>
      <c r="I288" s="1" t="s">
        <v>23</v>
      </c>
      <c r="J288" s="1" t="s">
        <v>20</v>
      </c>
      <c r="K288" s="26">
        <v>5</v>
      </c>
    </row>
    <row r="289" spans="1:11" x14ac:dyDescent="0.25">
      <c r="A289" s="25" t="s">
        <v>18</v>
      </c>
      <c r="B289" s="1" t="s">
        <v>19</v>
      </c>
      <c r="C289" s="2">
        <v>176703</v>
      </c>
      <c r="D289" s="2">
        <v>9179</v>
      </c>
      <c r="E289" s="1">
        <v>580</v>
      </c>
      <c r="F289" s="1">
        <v>1.67</v>
      </c>
      <c r="G289" s="1">
        <v>4362</v>
      </c>
      <c r="H289" s="1">
        <v>16.73</v>
      </c>
      <c r="I289" s="1" t="s">
        <v>13</v>
      </c>
      <c r="J289" s="1" t="s">
        <v>14</v>
      </c>
      <c r="K289" s="26">
        <v>8</v>
      </c>
    </row>
    <row r="290" spans="1:11" x14ac:dyDescent="0.25">
      <c r="A290" s="25" t="s">
        <v>18</v>
      </c>
      <c r="B290" s="1" t="s">
        <v>19</v>
      </c>
      <c r="C290" s="2">
        <v>41348</v>
      </c>
      <c r="D290" s="2">
        <v>49781</v>
      </c>
      <c r="E290" s="1">
        <v>134</v>
      </c>
      <c r="F290" s="1">
        <v>3</v>
      </c>
      <c r="G290" s="1">
        <v>15006</v>
      </c>
      <c r="H290" s="1">
        <v>1.64</v>
      </c>
      <c r="I290" s="1" t="s">
        <v>26</v>
      </c>
      <c r="J290" s="1" t="s">
        <v>17</v>
      </c>
      <c r="K290" s="26">
        <v>2</v>
      </c>
    </row>
    <row r="291" spans="1:11" x14ac:dyDescent="0.25">
      <c r="A291" s="25" t="s">
        <v>15</v>
      </c>
      <c r="B291" s="1" t="s">
        <v>19</v>
      </c>
      <c r="C291" s="2">
        <v>11177</v>
      </c>
      <c r="D291" s="2">
        <v>17843</v>
      </c>
      <c r="E291" s="1">
        <v>363</v>
      </c>
      <c r="F291" s="1">
        <v>3.76</v>
      </c>
      <c r="G291" s="1">
        <v>14818</v>
      </c>
      <c r="H291" s="1">
        <v>29.16</v>
      </c>
      <c r="I291" s="1" t="s">
        <v>16</v>
      </c>
      <c r="J291" s="1" t="s">
        <v>17</v>
      </c>
      <c r="K291" s="26">
        <v>8</v>
      </c>
    </row>
    <row r="292" spans="1:11" x14ac:dyDescent="0.25">
      <c r="A292" s="25" t="s">
        <v>18</v>
      </c>
      <c r="B292" s="1" t="s">
        <v>25</v>
      </c>
      <c r="C292" s="2">
        <v>145832</v>
      </c>
      <c r="D292" s="2">
        <v>24952</v>
      </c>
      <c r="E292" s="1">
        <v>282</v>
      </c>
      <c r="F292" s="1">
        <v>3.79</v>
      </c>
      <c r="G292" s="1">
        <v>15800</v>
      </c>
      <c r="H292" s="1">
        <v>15.38</v>
      </c>
      <c r="I292" s="1" t="s">
        <v>23</v>
      </c>
      <c r="J292" s="1" t="s">
        <v>17</v>
      </c>
      <c r="K292" s="26">
        <v>4</v>
      </c>
    </row>
    <row r="293" spans="1:11" x14ac:dyDescent="0.25">
      <c r="A293" s="25" t="s">
        <v>11</v>
      </c>
      <c r="B293" s="1" t="s">
        <v>25</v>
      </c>
      <c r="C293" s="2">
        <v>42779</v>
      </c>
      <c r="D293" s="2">
        <v>34160</v>
      </c>
      <c r="E293" s="1">
        <v>628</v>
      </c>
      <c r="F293" s="1">
        <v>3.59</v>
      </c>
      <c r="G293" s="1">
        <v>6149</v>
      </c>
      <c r="H293" s="1">
        <v>8.73</v>
      </c>
      <c r="I293" s="1" t="s">
        <v>26</v>
      </c>
      <c r="J293" s="1" t="s">
        <v>14</v>
      </c>
      <c r="K293" s="26">
        <v>1</v>
      </c>
    </row>
    <row r="294" spans="1:11" x14ac:dyDescent="0.25">
      <c r="A294" s="25" t="s">
        <v>18</v>
      </c>
      <c r="B294" s="1" t="s">
        <v>27</v>
      </c>
      <c r="C294" s="2">
        <v>31636</v>
      </c>
      <c r="D294" s="2">
        <v>45898</v>
      </c>
      <c r="E294" s="1">
        <v>820</v>
      </c>
      <c r="F294" s="1">
        <v>2.1</v>
      </c>
      <c r="G294" s="1">
        <v>18703</v>
      </c>
      <c r="H294" s="1">
        <v>14.08</v>
      </c>
      <c r="I294" s="1" t="s">
        <v>13</v>
      </c>
      <c r="J294" s="1" t="s">
        <v>14</v>
      </c>
      <c r="K294" s="26">
        <v>5</v>
      </c>
    </row>
    <row r="295" spans="1:11" x14ac:dyDescent="0.25">
      <c r="A295" s="25" t="s">
        <v>24</v>
      </c>
      <c r="B295" s="1" t="s">
        <v>21</v>
      </c>
      <c r="C295" s="2">
        <v>91889</v>
      </c>
      <c r="D295" s="2">
        <v>30516</v>
      </c>
      <c r="E295" s="1">
        <v>254</v>
      </c>
      <c r="F295" s="1">
        <v>1.62</v>
      </c>
      <c r="G295" s="1">
        <v>16174</v>
      </c>
      <c r="H295" s="1">
        <v>25.74</v>
      </c>
      <c r="I295" s="1" t="s">
        <v>23</v>
      </c>
      <c r="J295" s="1" t="s">
        <v>14</v>
      </c>
      <c r="K295" s="26">
        <v>1</v>
      </c>
    </row>
    <row r="296" spans="1:11" x14ac:dyDescent="0.25">
      <c r="A296" s="25" t="s">
        <v>24</v>
      </c>
      <c r="B296" s="1" t="s">
        <v>12</v>
      </c>
      <c r="C296" s="2">
        <v>63551</v>
      </c>
      <c r="D296" s="2">
        <v>11449</v>
      </c>
      <c r="E296" s="1">
        <v>857</v>
      </c>
      <c r="F296" s="1">
        <v>3.54</v>
      </c>
      <c r="G296" s="1">
        <v>18226</v>
      </c>
      <c r="H296" s="1">
        <v>9.15</v>
      </c>
      <c r="I296" s="1" t="s">
        <v>23</v>
      </c>
      <c r="J296" s="1" t="s">
        <v>14</v>
      </c>
      <c r="K296" s="26">
        <v>7</v>
      </c>
    </row>
    <row r="297" spans="1:11" x14ac:dyDescent="0.25">
      <c r="A297" s="25" t="s">
        <v>15</v>
      </c>
      <c r="B297" s="1" t="s">
        <v>19</v>
      </c>
      <c r="C297" s="2">
        <v>152628</v>
      </c>
      <c r="D297" s="2">
        <v>22125</v>
      </c>
      <c r="E297" s="1">
        <v>459</v>
      </c>
      <c r="F297" s="1">
        <v>3.4</v>
      </c>
      <c r="G297" s="1">
        <v>6060</v>
      </c>
      <c r="H297" s="1">
        <v>5.78</v>
      </c>
      <c r="I297" s="1" t="s">
        <v>26</v>
      </c>
      <c r="J297" s="1" t="s">
        <v>20</v>
      </c>
      <c r="K297" s="26">
        <v>8</v>
      </c>
    </row>
    <row r="298" spans="1:11" x14ac:dyDescent="0.25">
      <c r="A298" s="25" t="s">
        <v>24</v>
      </c>
      <c r="B298" s="1" t="s">
        <v>27</v>
      </c>
      <c r="C298" s="2">
        <v>168670</v>
      </c>
      <c r="D298" s="2">
        <v>8418</v>
      </c>
      <c r="E298" s="1">
        <v>939</v>
      </c>
      <c r="F298" s="1">
        <v>1.72</v>
      </c>
      <c r="G298" s="1">
        <v>15951</v>
      </c>
      <c r="H298" s="1">
        <v>3.87</v>
      </c>
      <c r="I298" s="1" t="s">
        <v>23</v>
      </c>
      <c r="J298" s="1" t="s">
        <v>14</v>
      </c>
      <c r="K298" s="26">
        <v>3</v>
      </c>
    </row>
    <row r="299" spans="1:11" x14ac:dyDescent="0.25">
      <c r="A299" s="25" t="s">
        <v>11</v>
      </c>
      <c r="B299" s="1" t="s">
        <v>12</v>
      </c>
      <c r="C299" s="2">
        <v>152635</v>
      </c>
      <c r="D299" s="2">
        <v>23746</v>
      </c>
      <c r="E299" s="1">
        <v>256</v>
      </c>
      <c r="F299" s="1">
        <v>3.82</v>
      </c>
      <c r="G299" s="1">
        <v>19110</v>
      </c>
      <c r="H299" s="1">
        <v>8.94</v>
      </c>
      <c r="I299" s="1" t="s">
        <v>16</v>
      </c>
      <c r="J299" s="1" t="s">
        <v>17</v>
      </c>
      <c r="K299" s="26">
        <v>3</v>
      </c>
    </row>
    <row r="300" spans="1:11" x14ac:dyDescent="0.25">
      <c r="A300" s="25" t="s">
        <v>18</v>
      </c>
      <c r="B300" s="1" t="s">
        <v>27</v>
      </c>
      <c r="C300" s="2">
        <v>56819</v>
      </c>
      <c r="D300" s="2">
        <v>3454</v>
      </c>
      <c r="E300" s="1">
        <v>529</v>
      </c>
      <c r="F300" s="1">
        <v>2.82</v>
      </c>
      <c r="G300" s="1">
        <v>1579</v>
      </c>
      <c r="H300" s="1">
        <v>23.4</v>
      </c>
      <c r="I300" s="1" t="s">
        <v>16</v>
      </c>
      <c r="J300" s="1" t="s">
        <v>20</v>
      </c>
      <c r="K300" s="26">
        <v>7</v>
      </c>
    </row>
    <row r="301" spans="1:11" x14ac:dyDescent="0.25">
      <c r="A301" s="25" t="s">
        <v>15</v>
      </c>
      <c r="B301" s="1" t="s">
        <v>25</v>
      </c>
      <c r="C301" s="2">
        <v>83770</v>
      </c>
      <c r="D301" s="2">
        <v>18761</v>
      </c>
      <c r="E301" s="1">
        <v>150</v>
      </c>
      <c r="F301" s="1">
        <v>3.67</v>
      </c>
      <c r="G301" s="1">
        <v>14483</v>
      </c>
      <c r="H301" s="1">
        <v>14.15</v>
      </c>
      <c r="I301" s="1" t="s">
        <v>26</v>
      </c>
      <c r="J301" s="1" t="s">
        <v>17</v>
      </c>
      <c r="K301" s="26">
        <v>4</v>
      </c>
    </row>
    <row r="302" spans="1:11" x14ac:dyDescent="0.25">
      <c r="A302" s="25" t="s">
        <v>18</v>
      </c>
      <c r="B302" s="1" t="s">
        <v>19</v>
      </c>
      <c r="C302" s="2">
        <v>168038</v>
      </c>
      <c r="D302" s="2">
        <v>16223</v>
      </c>
      <c r="E302" s="1">
        <v>371</v>
      </c>
      <c r="F302" s="1">
        <v>4.3499999999999996</v>
      </c>
      <c r="G302" s="1">
        <v>15827</v>
      </c>
      <c r="H302" s="1">
        <v>6.82</v>
      </c>
      <c r="I302" s="1" t="s">
        <v>13</v>
      </c>
      <c r="J302" s="1" t="s">
        <v>14</v>
      </c>
      <c r="K302" s="26">
        <v>3</v>
      </c>
    </row>
    <row r="303" spans="1:11" x14ac:dyDescent="0.25">
      <c r="A303" s="25" t="s">
        <v>18</v>
      </c>
      <c r="B303" s="1" t="s">
        <v>12</v>
      </c>
      <c r="C303" s="2">
        <v>168059</v>
      </c>
      <c r="D303" s="2">
        <v>7701</v>
      </c>
      <c r="E303" s="1">
        <v>17</v>
      </c>
      <c r="F303" s="1">
        <v>1.68</v>
      </c>
      <c r="G303" s="1">
        <v>13255</v>
      </c>
      <c r="H303" s="1">
        <v>4.99</v>
      </c>
      <c r="I303" s="1" t="s">
        <v>26</v>
      </c>
      <c r="J303" s="1" t="s">
        <v>20</v>
      </c>
      <c r="K303" s="26">
        <v>8</v>
      </c>
    </row>
    <row r="304" spans="1:11" x14ac:dyDescent="0.25">
      <c r="A304" s="25" t="s">
        <v>11</v>
      </c>
      <c r="B304" s="1" t="s">
        <v>12</v>
      </c>
      <c r="C304" s="2">
        <v>88714</v>
      </c>
      <c r="D304" s="2">
        <v>3597</v>
      </c>
      <c r="E304" s="1">
        <v>487</v>
      </c>
      <c r="F304" s="1">
        <v>1.08</v>
      </c>
      <c r="G304" s="1">
        <v>7735</v>
      </c>
      <c r="H304" s="1">
        <v>9.98</v>
      </c>
      <c r="I304" s="1" t="s">
        <v>16</v>
      </c>
      <c r="J304" s="1" t="s">
        <v>14</v>
      </c>
      <c r="K304" s="26">
        <v>3</v>
      </c>
    </row>
    <row r="305" spans="1:11" x14ac:dyDescent="0.25">
      <c r="A305" s="25" t="s">
        <v>24</v>
      </c>
      <c r="B305" s="1" t="s">
        <v>12</v>
      </c>
      <c r="C305" s="2">
        <v>199420</v>
      </c>
      <c r="D305" s="2">
        <v>1141</v>
      </c>
      <c r="E305" s="1">
        <v>361</v>
      </c>
      <c r="F305" s="1">
        <v>4.12</v>
      </c>
      <c r="G305" s="1">
        <v>17697</v>
      </c>
      <c r="H305" s="1">
        <v>28.2</v>
      </c>
      <c r="I305" s="1" t="s">
        <v>22</v>
      </c>
      <c r="J305" s="1" t="s">
        <v>20</v>
      </c>
      <c r="K305" s="26">
        <v>7</v>
      </c>
    </row>
    <row r="306" spans="1:11" x14ac:dyDescent="0.25">
      <c r="A306" s="25" t="s">
        <v>24</v>
      </c>
      <c r="B306" s="1" t="s">
        <v>12</v>
      </c>
      <c r="C306" s="2">
        <v>34596</v>
      </c>
      <c r="D306" s="2">
        <v>3659</v>
      </c>
      <c r="E306" s="1">
        <v>504</v>
      </c>
      <c r="F306" s="1">
        <v>3.44</v>
      </c>
      <c r="G306" s="1">
        <v>2531</v>
      </c>
      <c r="H306" s="1">
        <v>10.29</v>
      </c>
      <c r="I306" s="1" t="s">
        <v>22</v>
      </c>
      <c r="J306" s="1" t="s">
        <v>17</v>
      </c>
      <c r="K306" s="26">
        <v>2</v>
      </c>
    </row>
    <row r="307" spans="1:11" x14ac:dyDescent="0.25">
      <c r="A307" s="25" t="s">
        <v>18</v>
      </c>
      <c r="B307" s="1" t="s">
        <v>12</v>
      </c>
      <c r="C307" s="2">
        <v>174246</v>
      </c>
      <c r="D307" s="2">
        <v>21980</v>
      </c>
      <c r="E307" s="1">
        <v>615</v>
      </c>
      <c r="F307" s="1">
        <v>3.8</v>
      </c>
      <c r="G307" s="1">
        <v>9014</v>
      </c>
      <c r="H307" s="1">
        <v>29.64</v>
      </c>
      <c r="I307" s="1" t="s">
        <v>23</v>
      </c>
      <c r="J307" s="1" t="s">
        <v>14</v>
      </c>
      <c r="K307" s="26">
        <v>1</v>
      </c>
    </row>
    <row r="308" spans="1:11" x14ac:dyDescent="0.25">
      <c r="A308" s="25" t="s">
        <v>15</v>
      </c>
      <c r="B308" s="1" t="s">
        <v>27</v>
      </c>
      <c r="C308" s="2">
        <v>74106</v>
      </c>
      <c r="D308" s="2">
        <v>10031</v>
      </c>
      <c r="E308" s="1">
        <v>842</v>
      </c>
      <c r="F308" s="1">
        <v>4.3499999999999996</v>
      </c>
      <c r="G308" s="1">
        <v>9595</v>
      </c>
      <c r="H308" s="1">
        <v>14.56</v>
      </c>
      <c r="I308" s="1" t="s">
        <v>23</v>
      </c>
      <c r="J308" s="1" t="s">
        <v>14</v>
      </c>
      <c r="K308" s="26">
        <v>6</v>
      </c>
    </row>
    <row r="309" spans="1:11" x14ac:dyDescent="0.25">
      <c r="A309" s="25" t="s">
        <v>24</v>
      </c>
      <c r="B309" s="1" t="s">
        <v>19</v>
      </c>
      <c r="C309" s="2">
        <v>69182</v>
      </c>
      <c r="D309" s="2">
        <v>16037</v>
      </c>
      <c r="E309" s="1">
        <v>436</v>
      </c>
      <c r="F309" s="1">
        <v>4.21</v>
      </c>
      <c r="G309" s="1">
        <v>14787</v>
      </c>
      <c r="H309" s="1">
        <v>5.37</v>
      </c>
      <c r="I309" s="1" t="s">
        <v>22</v>
      </c>
      <c r="J309" s="1" t="s">
        <v>20</v>
      </c>
      <c r="K309" s="26">
        <v>8</v>
      </c>
    </row>
    <row r="310" spans="1:11" x14ac:dyDescent="0.25">
      <c r="A310" s="25" t="s">
        <v>15</v>
      </c>
      <c r="B310" s="1" t="s">
        <v>25</v>
      </c>
      <c r="C310" s="2">
        <v>97163</v>
      </c>
      <c r="D310" s="2">
        <v>47738</v>
      </c>
      <c r="E310" s="1">
        <v>48</v>
      </c>
      <c r="F310" s="1">
        <v>4.84</v>
      </c>
      <c r="G310" s="1">
        <v>6411</v>
      </c>
      <c r="H310" s="1">
        <v>26.73</v>
      </c>
      <c r="I310" s="1" t="s">
        <v>16</v>
      </c>
      <c r="J310" s="1" t="s">
        <v>20</v>
      </c>
      <c r="K310" s="26">
        <v>1</v>
      </c>
    </row>
    <row r="311" spans="1:11" x14ac:dyDescent="0.25">
      <c r="A311" s="25" t="s">
        <v>24</v>
      </c>
      <c r="B311" s="1" t="s">
        <v>25</v>
      </c>
      <c r="C311" s="2">
        <v>49310</v>
      </c>
      <c r="D311" s="2">
        <v>39429</v>
      </c>
      <c r="E311" s="1">
        <v>602</v>
      </c>
      <c r="F311" s="1">
        <v>3.14</v>
      </c>
      <c r="G311" s="1">
        <v>12195</v>
      </c>
      <c r="H311" s="1">
        <v>13.81</v>
      </c>
      <c r="I311" s="1" t="s">
        <v>23</v>
      </c>
      <c r="J311" s="1" t="s">
        <v>14</v>
      </c>
      <c r="K311" s="26">
        <v>9</v>
      </c>
    </row>
    <row r="312" spans="1:11" x14ac:dyDescent="0.25">
      <c r="A312" s="25" t="s">
        <v>15</v>
      </c>
      <c r="B312" s="1" t="s">
        <v>25</v>
      </c>
      <c r="C312" s="2">
        <v>66088</v>
      </c>
      <c r="D312" s="2">
        <v>7142</v>
      </c>
      <c r="E312" s="1">
        <v>196</v>
      </c>
      <c r="F312" s="1">
        <v>2.95</v>
      </c>
      <c r="G312" s="1">
        <v>19537</v>
      </c>
      <c r="H312" s="1">
        <v>21.29</v>
      </c>
      <c r="I312" s="1" t="s">
        <v>26</v>
      </c>
      <c r="J312" s="1" t="s">
        <v>20</v>
      </c>
      <c r="K312" s="26">
        <v>3</v>
      </c>
    </row>
    <row r="313" spans="1:11" x14ac:dyDescent="0.25">
      <c r="A313" s="25" t="s">
        <v>11</v>
      </c>
      <c r="B313" s="1" t="s">
        <v>25</v>
      </c>
      <c r="C313" s="2">
        <v>138803</v>
      </c>
      <c r="D313" s="2">
        <v>13109</v>
      </c>
      <c r="E313" s="1">
        <v>605</v>
      </c>
      <c r="F313" s="1">
        <v>2.61</v>
      </c>
      <c r="G313" s="1">
        <v>3840</v>
      </c>
      <c r="H313" s="1">
        <v>29.51</v>
      </c>
      <c r="I313" s="1" t="s">
        <v>26</v>
      </c>
      <c r="J313" s="1" t="s">
        <v>14</v>
      </c>
      <c r="K313" s="26">
        <v>3</v>
      </c>
    </row>
    <row r="314" spans="1:11" x14ac:dyDescent="0.25">
      <c r="A314" s="25" t="s">
        <v>15</v>
      </c>
      <c r="B314" s="1" t="s">
        <v>27</v>
      </c>
      <c r="C314" s="2">
        <v>149978</v>
      </c>
      <c r="D314" s="2">
        <v>23010</v>
      </c>
      <c r="E314" s="1">
        <v>609</v>
      </c>
      <c r="F314" s="1">
        <v>1.61</v>
      </c>
      <c r="G314" s="1">
        <v>8376</v>
      </c>
      <c r="H314" s="1">
        <v>1.51</v>
      </c>
      <c r="I314" s="1" t="s">
        <v>16</v>
      </c>
      <c r="J314" s="1" t="s">
        <v>20</v>
      </c>
      <c r="K314" s="26">
        <v>4</v>
      </c>
    </row>
    <row r="315" spans="1:11" x14ac:dyDescent="0.25">
      <c r="A315" s="25" t="s">
        <v>11</v>
      </c>
      <c r="B315" s="1" t="s">
        <v>21</v>
      </c>
      <c r="C315" s="2">
        <v>46914</v>
      </c>
      <c r="D315" s="2">
        <v>9787</v>
      </c>
      <c r="E315" s="1">
        <v>763</v>
      </c>
      <c r="F315" s="1">
        <v>3.29</v>
      </c>
      <c r="G315" s="1">
        <v>16396</v>
      </c>
      <c r="H315" s="1">
        <v>2.9</v>
      </c>
      <c r="I315" s="1" t="s">
        <v>23</v>
      </c>
      <c r="J315" s="1" t="s">
        <v>17</v>
      </c>
      <c r="K315" s="26">
        <v>1</v>
      </c>
    </row>
    <row r="316" spans="1:11" x14ac:dyDescent="0.25">
      <c r="A316" s="25" t="s">
        <v>11</v>
      </c>
      <c r="B316" s="1" t="s">
        <v>19</v>
      </c>
      <c r="C316" s="2">
        <v>120350</v>
      </c>
      <c r="D316" s="2">
        <v>43864</v>
      </c>
      <c r="E316" s="1">
        <v>863</v>
      </c>
      <c r="F316" s="1">
        <v>2.11</v>
      </c>
      <c r="G316" s="1">
        <v>12935</v>
      </c>
      <c r="H316" s="1">
        <v>21.61</v>
      </c>
      <c r="I316" s="1" t="s">
        <v>26</v>
      </c>
      <c r="J316" s="1" t="s">
        <v>20</v>
      </c>
      <c r="K316" s="26">
        <v>9</v>
      </c>
    </row>
    <row r="317" spans="1:11" x14ac:dyDescent="0.25">
      <c r="A317" s="25" t="s">
        <v>15</v>
      </c>
      <c r="B317" s="1" t="s">
        <v>12</v>
      </c>
      <c r="C317" s="2">
        <v>55379</v>
      </c>
      <c r="D317" s="2">
        <v>9472</v>
      </c>
      <c r="E317" s="1">
        <v>102</v>
      </c>
      <c r="F317" s="1">
        <v>4.6900000000000004</v>
      </c>
      <c r="G317" s="1">
        <v>1641</v>
      </c>
      <c r="H317" s="1">
        <v>8.4499999999999993</v>
      </c>
      <c r="I317" s="1" t="s">
        <v>23</v>
      </c>
      <c r="J317" s="1" t="s">
        <v>17</v>
      </c>
      <c r="K317" s="26">
        <v>3</v>
      </c>
    </row>
    <row r="318" spans="1:11" x14ac:dyDescent="0.25">
      <c r="A318" s="25" t="s">
        <v>11</v>
      </c>
      <c r="B318" s="1" t="s">
        <v>21</v>
      </c>
      <c r="C318" s="2">
        <v>178722</v>
      </c>
      <c r="D318" s="2">
        <v>24383</v>
      </c>
      <c r="E318" s="1">
        <v>95</v>
      </c>
      <c r="F318" s="1">
        <v>3.33</v>
      </c>
      <c r="G318" s="1">
        <v>19781</v>
      </c>
      <c r="H318" s="1">
        <v>5.53</v>
      </c>
      <c r="I318" s="1" t="s">
        <v>23</v>
      </c>
      <c r="J318" s="1" t="s">
        <v>20</v>
      </c>
      <c r="K318" s="26">
        <v>4</v>
      </c>
    </row>
    <row r="319" spans="1:11" x14ac:dyDescent="0.25">
      <c r="A319" s="25" t="s">
        <v>18</v>
      </c>
      <c r="B319" s="1" t="s">
        <v>25</v>
      </c>
      <c r="C319" s="2">
        <v>187953</v>
      </c>
      <c r="D319" s="2">
        <v>5249</v>
      </c>
      <c r="E319" s="1">
        <v>53</v>
      </c>
      <c r="F319" s="1">
        <v>3.37</v>
      </c>
      <c r="G319" s="1">
        <v>9781</v>
      </c>
      <c r="H319" s="1">
        <v>1.18</v>
      </c>
      <c r="I319" s="1" t="s">
        <v>26</v>
      </c>
      <c r="J319" s="1" t="s">
        <v>20</v>
      </c>
      <c r="K319" s="26">
        <v>1</v>
      </c>
    </row>
    <row r="320" spans="1:11" x14ac:dyDescent="0.25">
      <c r="A320" s="25" t="s">
        <v>11</v>
      </c>
      <c r="B320" s="1" t="s">
        <v>21</v>
      </c>
      <c r="C320" s="2">
        <v>56413</v>
      </c>
      <c r="D320" s="2">
        <v>48717</v>
      </c>
      <c r="E320" s="1">
        <v>146</v>
      </c>
      <c r="F320" s="1">
        <v>2.42</v>
      </c>
      <c r="G320" s="1">
        <v>2538</v>
      </c>
      <c r="H320" s="1">
        <v>0.66</v>
      </c>
      <c r="I320" s="1" t="s">
        <v>22</v>
      </c>
      <c r="J320" s="1" t="s">
        <v>14</v>
      </c>
      <c r="K320" s="26">
        <v>4</v>
      </c>
    </row>
    <row r="321" spans="1:11" x14ac:dyDescent="0.25">
      <c r="A321" s="25" t="s">
        <v>24</v>
      </c>
      <c r="B321" s="1" t="s">
        <v>19</v>
      </c>
      <c r="C321" s="2">
        <v>147084</v>
      </c>
      <c r="D321" s="2">
        <v>35518</v>
      </c>
      <c r="E321" s="1">
        <v>430</v>
      </c>
      <c r="F321" s="1">
        <v>1.21</v>
      </c>
      <c r="G321" s="1">
        <v>4770</v>
      </c>
      <c r="H321" s="1">
        <v>23.23</v>
      </c>
      <c r="I321" s="1" t="s">
        <v>26</v>
      </c>
      <c r="J321" s="1" t="s">
        <v>20</v>
      </c>
      <c r="K321" s="26">
        <v>1</v>
      </c>
    </row>
    <row r="322" spans="1:11" x14ac:dyDescent="0.25">
      <c r="A322" s="25" t="s">
        <v>15</v>
      </c>
      <c r="B322" s="1" t="s">
        <v>12</v>
      </c>
      <c r="C322" s="2">
        <v>191187</v>
      </c>
      <c r="D322" s="2">
        <v>19351</v>
      </c>
      <c r="E322" s="1">
        <v>83</v>
      </c>
      <c r="F322" s="1">
        <v>1.1299999999999999</v>
      </c>
      <c r="G322" s="1">
        <v>10546</v>
      </c>
      <c r="H322" s="1">
        <v>4.03</v>
      </c>
      <c r="I322" s="1" t="s">
        <v>16</v>
      </c>
      <c r="J322" s="1" t="s">
        <v>20</v>
      </c>
      <c r="K322" s="26">
        <v>5</v>
      </c>
    </row>
    <row r="323" spans="1:11" x14ac:dyDescent="0.25">
      <c r="A323" s="25" t="s">
        <v>18</v>
      </c>
      <c r="B323" s="1" t="s">
        <v>12</v>
      </c>
      <c r="C323" s="2">
        <v>17151</v>
      </c>
      <c r="D323" s="2">
        <v>5088</v>
      </c>
      <c r="E323" s="1">
        <v>557</v>
      </c>
      <c r="F323" s="1">
        <v>2.69</v>
      </c>
      <c r="G323" s="1">
        <v>5183</v>
      </c>
      <c r="H323" s="1">
        <v>14.03</v>
      </c>
      <c r="I323" s="1" t="s">
        <v>13</v>
      </c>
      <c r="J323" s="1" t="s">
        <v>17</v>
      </c>
      <c r="K323" s="26">
        <v>5</v>
      </c>
    </row>
    <row r="324" spans="1:11" x14ac:dyDescent="0.25">
      <c r="A324" s="25" t="s">
        <v>15</v>
      </c>
      <c r="B324" s="1" t="s">
        <v>19</v>
      </c>
      <c r="C324" s="2">
        <v>67716</v>
      </c>
      <c r="D324" s="2">
        <v>16282</v>
      </c>
      <c r="E324" s="1">
        <v>622</v>
      </c>
      <c r="F324" s="1">
        <v>1.34</v>
      </c>
      <c r="G324" s="1">
        <v>17378</v>
      </c>
      <c r="H324" s="1">
        <v>18.18</v>
      </c>
      <c r="I324" s="1" t="s">
        <v>26</v>
      </c>
      <c r="J324" s="1" t="s">
        <v>20</v>
      </c>
      <c r="K324" s="26">
        <v>7</v>
      </c>
    </row>
    <row r="325" spans="1:11" x14ac:dyDescent="0.25">
      <c r="A325" s="25" t="s">
        <v>24</v>
      </c>
      <c r="B325" s="1" t="s">
        <v>19</v>
      </c>
      <c r="C325" s="2">
        <v>103747</v>
      </c>
      <c r="D325" s="2">
        <v>20330</v>
      </c>
      <c r="E325" s="1">
        <v>997</v>
      </c>
      <c r="F325" s="1">
        <v>3.43</v>
      </c>
      <c r="G325" s="1">
        <v>7616</v>
      </c>
      <c r="H325" s="1">
        <v>12.85</v>
      </c>
      <c r="I325" s="1" t="s">
        <v>23</v>
      </c>
      <c r="J325" s="1" t="s">
        <v>14</v>
      </c>
      <c r="K325" s="26">
        <v>8</v>
      </c>
    </row>
    <row r="326" spans="1:11" x14ac:dyDescent="0.25">
      <c r="A326" s="25" t="s">
        <v>24</v>
      </c>
      <c r="B326" s="1" t="s">
        <v>25</v>
      </c>
      <c r="C326" s="2">
        <v>177450</v>
      </c>
      <c r="D326" s="2">
        <v>43409</v>
      </c>
      <c r="E326" s="1">
        <v>521</v>
      </c>
      <c r="F326" s="1">
        <v>4.5199999999999996</v>
      </c>
      <c r="G326" s="1">
        <v>2284</v>
      </c>
      <c r="H326" s="1">
        <v>0.81</v>
      </c>
      <c r="I326" s="1" t="s">
        <v>23</v>
      </c>
      <c r="J326" s="1" t="s">
        <v>17</v>
      </c>
      <c r="K326" s="26">
        <v>4</v>
      </c>
    </row>
    <row r="327" spans="1:11" x14ac:dyDescent="0.25">
      <c r="A327" s="25" t="s">
        <v>24</v>
      </c>
      <c r="B327" s="1" t="s">
        <v>12</v>
      </c>
      <c r="C327" s="2">
        <v>183724</v>
      </c>
      <c r="D327" s="2">
        <v>22778</v>
      </c>
      <c r="E327" s="1">
        <v>165</v>
      </c>
      <c r="F327" s="1">
        <v>4.53</v>
      </c>
      <c r="G327" s="1">
        <v>4286</v>
      </c>
      <c r="H327" s="1">
        <v>23.51</v>
      </c>
      <c r="I327" s="1" t="s">
        <v>26</v>
      </c>
      <c r="J327" s="1" t="s">
        <v>14</v>
      </c>
      <c r="K327" s="26">
        <v>7</v>
      </c>
    </row>
    <row r="328" spans="1:11" x14ac:dyDescent="0.25">
      <c r="A328" s="25" t="s">
        <v>11</v>
      </c>
      <c r="B328" s="1" t="s">
        <v>21</v>
      </c>
      <c r="C328" s="2">
        <v>154539</v>
      </c>
      <c r="D328" s="2">
        <v>25264</v>
      </c>
      <c r="E328" s="1">
        <v>947</v>
      </c>
      <c r="F328" s="1">
        <v>3.64</v>
      </c>
      <c r="G328" s="1">
        <v>9690</v>
      </c>
      <c r="H328" s="1">
        <v>0.32</v>
      </c>
      <c r="I328" s="1" t="s">
        <v>13</v>
      </c>
      <c r="J328" s="1" t="s">
        <v>14</v>
      </c>
      <c r="K328" s="26">
        <v>4</v>
      </c>
    </row>
    <row r="329" spans="1:11" x14ac:dyDescent="0.25">
      <c r="A329" s="25" t="s">
        <v>11</v>
      </c>
      <c r="B329" s="1" t="s">
        <v>27</v>
      </c>
      <c r="C329" s="2">
        <v>172082</v>
      </c>
      <c r="D329" s="2">
        <v>6075</v>
      </c>
      <c r="E329" s="1">
        <v>264</v>
      </c>
      <c r="F329" s="1">
        <v>1.84</v>
      </c>
      <c r="G329" s="1">
        <v>5928</v>
      </c>
      <c r="H329" s="1">
        <v>22.86</v>
      </c>
      <c r="I329" s="1" t="s">
        <v>26</v>
      </c>
      <c r="J329" s="1" t="s">
        <v>14</v>
      </c>
      <c r="K329" s="26">
        <v>3</v>
      </c>
    </row>
    <row r="330" spans="1:11" x14ac:dyDescent="0.25">
      <c r="A330" s="25" t="s">
        <v>15</v>
      </c>
      <c r="B330" s="1" t="s">
        <v>27</v>
      </c>
      <c r="C330" s="2">
        <v>131999</v>
      </c>
      <c r="D330" s="2">
        <v>11412</v>
      </c>
      <c r="E330" s="1">
        <v>180</v>
      </c>
      <c r="F330" s="1">
        <v>4.45</v>
      </c>
      <c r="G330" s="1">
        <v>7181</v>
      </c>
      <c r="H330" s="1">
        <v>26.8</v>
      </c>
      <c r="I330" s="1" t="s">
        <v>13</v>
      </c>
      <c r="J330" s="1" t="s">
        <v>14</v>
      </c>
      <c r="K330" s="26">
        <v>6</v>
      </c>
    </row>
    <row r="331" spans="1:11" x14ac:dyDescent="0.25">
      <c r="A331" s="25" t="s">
        <v>15</v>
      </c>
      <c r="B331" s="1" t="s">
        <v>19</v>
      </c>
      <c r="C331" s="2">
        <v>124793</v>
      </c>
      <c r="D331" s="2">
        <v>49454</v>
      </c>
      <c r="E331" s="1">
        <v>990</v>
      </c>
      <c r="F331" s="1">
        <v>4.54</v>
      </c>
      <c r="G331" s="1">
        <v>7393</v>
      </c>
      <c r="H331" s="1">
        <v>12.99</v>
      </c>
      <c r="I331" s="1" t="s">
        <v>13</v>
      </c>
      <c r="J331" s="1" t="s">
        <v>17</v>
      </c>
      <c r="K331" s="26">
        <v>4</v>
      </c>
    </row>
    <row r="332" spans="1:11" x14ac:dyDescent="0.25">
      <c r="A332" s="25" t="s">
        <v>18</v>
      </c>
      <c r="B332" s="1" t="s">
        <v>25</v>
      </c>
      <c r="C332" s="2">
        <v>195763</v>
      </c>
      <c r="D332" s="2">
        <v>29365</v>
      </c>
      <c r="E332" s="1">
        <v>737</v>
      </c>
      <c r="F332" s="1">
        <v>1.79</v>
      </c>
      <c r="G332" s="1">
        <v>13161</v>
      </c>
      <c r="H332" s="1">
        <v>16.07</v>
      </c>
      <c r="I332" s="1" t="s">
        <v>16</v>
      </c>
      <c r="J332" s="1" t="s">
        <v>20</v>
      </c>
      <c r="K332" s="26">
        <v>3</v>
      </c>
    </row>
    <row r="333" spans="1:11" x14ac:dyDescent="0.25">
      <c r="A333" s="25" t="s">
        <v>18</v>
      </c>
      <c r="B333" s="1" t="s">
        <v>27</v>
      </c>
      <c r="C333" s="2">
        <v>118177</v>
      </c>
      <c r="D333" s="2">
        <v>8230</v>
      </c>
      <c r="E333" s="1">
        <v>179</v>
      </c>
      <c r="F333" s="1">
        <v>3.95</v>
      </c>
      <c r="G333" s="1">
        <v>15392</v>
      </c>
      <c r="H333" s="1">
        <v>14.31</v>
      </c>
      <c r="I333" s="1" t="s">
        <v>23</v>
      </c>
      <c r="J333" s="1" t="s">
        <v>14</v>
      </c>
      <c r="K333" s="26">
        <v>9</v>
      </c>
    </row>
    <row r="334" spans="1:11" x14ac:dyDescent="0.25">
      <c r="A334" s="25" t="s">
        <v>15</v>
      </c>
      <c r="B334" s="1" t="s">
        <v>12</v>
      </c>
      <c r="C334" s="2">
        <v>22289</v>
      </c>
      <c r="D334" s="2">
        <v>49200</v>
      </c>
      <c r="E334" s="1">
        <v>773</v>
      </c>
      <c r="F334" s="1">
        <v>2.15</v>
      </c>
      <c r="G334" s="1">
        <v>10143</v>
      </c>
      <c r="H334" s="1">
        <v>11.68</v>
      </c>
      <c r="I334" s="1" t="s">
        <v>23</v>
      </c>
      <c r="J334" s="1" t="s">
        <v>17</v>
      </c>
      <c r="K334" s="26">
        <v>5</v>
      </c>
    </row>
    <row r="335" spans="1:11" x14ac:dyDescent="0.25">
      <c r="A335" s="25" t="s">
        <v>11</v>
      </c>
      <c r="B335" s="1" t="s">
        <v>19</v>
      </c>
      <c r="C335" s="2">
        <v>186048</v>
      </c>
      <c r="D335" s="2">
        <v>12002</v>
      </c>
      <c r="E335" s="1">
        <v>881</v>
      </c>
      <c r="F335" s="1">
        <v>4.21</v>
      </c>
      <c r="G335" s="1">
        <v>10443</v>
      </c>
      <c r="H335" s="1">
        <v>26.62</v>
      </c>
      <c r="I335" s="1" t="s">
        <v>13</v>
      </c>
      <c r="J335" s="1" t="s">
        <v>14</v>
      </c>
      <c r="K335" s="26">
        <v>7</v>
      </c>
    </row>
    <row r="336" spans="1:11" x14ac:dyDescent="0.25">
      <c r="A336" s="25" t="s">
        <v>24</v>
      </c>
      <c r="B336" s="1" t="s">
        <v>21</v>
      </c>
      <c r="C336" s="2">
        <v>184668</v>
      </c>
      <c r="D336" s="2">
        <v>14947</v>
      </c>
      <c r="E336" s="1">
        <v>331</v>
      </c>
      <c r="F336" s="1">
        <v>4.99</v>
      </c>
      <c r="G336" s="1">
        <v>10972</v>
      </c>
      <c r="H336" s="1">
        <v>26.82</v>
      </c>
      <c r="I336" s="1" t="s">
        <v>23</v>
      </c>
      <c r="J336" s="1" t="s">
        <v>20</v>
      </c>
      <c r="K336" s="26">
        <v>6</v>
      </c>
    </row>
    <row r="337" spans="1:11" x14ac:dyDescent="0.25">
      <c r="A337" s="25" t="s">
        <v>15</v>
      </c>
      <c r="B337" s="1" t="s">
        <v>19</v>
      </c>
      <c r="C337" s="2">
        <v>164243</v>
      </c>
      <c r="D337" s="2">
        <v>14686</v>
      </c>
      <c r="E337" s="1">
        <v>576</v>
      </c>
      <c r="F337" s="1">
        <v>1.1200000000000001</v>
      </c>
      <c r="G337" s="1">
        <v>13492</v>
      </c>
      <c r="H337" s="1">
        <v>10.07</v>
      </c>
      <c r="I337" s="1" t="s">
        <v>22</v>
      </c>
      <c r="J337" s="1" t="s">
        <v>17</v>
      </c>
      <c r="K337" s="26">
        <v>5</v>
      </c>
    </row>
    <row r="338" spans="1:11" x14ac:dyDescent="0.25">
      <c r="A338" s="25" t="s">
        <v>18</v>
      </c>
      <c r="B338" s="1" t="s">
        <v>21</v>
      </c>
      <c r="C338" s="2">
        <v>96365</v>
      </c>
      <c r="D338" s="2">
        <v>30304</v>
      </c>
      <c r="E338" s="1">
        <v>465</v>
      </c>
      <c r="F338" s="1">
        <v>4.59</v>
      </c>
      <c r="G338" s="1">
        <v>11626</v>
      </c>
      <c r="H338" s="1">
        <v>18.45</v>
      </c>
      <c r="I338" s="1" t="s">
        <v>13</v>
      </c>
      <c r="J338" s="1" t="s">
        <v>17</v>
      </c>
      <c r="K338" s="26">
        <v>7</v>
      </c>
    </row>
    <row r="339" spans="1:11" x14ac:dyDescent="0.25">
      <c r="A339" s="25" t="s">
        <v>11</v>
      </c>
      <c r="B339" s="1" t="s">
        <v>19</v>
      </c>
      <c r="C339" s="2">
        <v>124014</v>
      </c>
      <c r="D339" s="2">
        <v>14074</v>
      </c>
      <c r="E339" s="1">
        <v>953</v>
      </c>
      <c r="F339" s="1">
        <v>3.49</v>
      </c>
      <c r="G339" s="1">
        <v>7369</v>
      </c>
      <c r="H339" s="1">
        <v>27.81</v>
      </c>
      <c r="I339" s="1" t="s">
        <v>23</v>
      </c>
      <c r="J339" s="1" t="s">
        <v>20</v>
      </c>
      <c r="K339" s="26">
        <v>6</v>
      </c>
    </row>
    <row r="340" spans="1:11" x14ac:dyDescent="0.25">
      <c r="A340" s="25" t="s">
        <v>15</v>
      </c>
      <c r="B340" s="1" t="s">
        <v>19</v>
      </c>
      <c r="C340" s="2">
        <v>185211</v>
      </c>
      <c r="D340" s="2">
        <v>5493</v>
      </c>
      <c r="E340" s="1">
        <v>612</v>
      </c>
      <c r="F340" s="1">
        <v>4.8899999999999997</v>
      </c>
      <c r="G340" s="1">
        <v>8169</v>
      </c>
      <c r="H340" s="1">
        <v>28.86</v>
      </c>
      <c r="I340" s="1" t="s">
        <v>22</v>
      </c>
      <c r="J340" s="1" t="s">
        <v>17</v>
      </c>
      <c r="K340" s="26">
        <v>2</v>
      </c>
    </row>
    <row r="341" spans="1:11" x14ac:dyDescent="0.25">
      <c r="A341" s="25" t="s">
        <v>15</v>
      </c>
      <c r="B341" s="1" t="s">
        <v>19</v>
      </c>
      <c r="C341" s="2">
        <v>189785</v>
      </c>
      <c r="D341" s="2">
        <v>35228</v>
      </c>
      <c r="E341" s="1">
        <v>799</v>
      </c>
      <c r="F341" s="1">
        <v>2.86</v>
      </c>
      <c r="G341" s="1">
        <v>12038</v>
      </c>
      <c r="H341" s="1">
        <v>15.27</v>
      </c>
      <c r="I341" s="1" t="s">
        <v>16</v>
      </c>
      <c r="J341" s="1" t="s">
        <v>20</v>
      </c>
      <c r="K341" s="26">
        <v>3</v>
      </c>
    </row>
    <row r="342" spans="1:11" x14ac:dyDescent="0.25">
      <c r="A342" s="25" t="s">
        <v>11</v>
      </c>
      <c r="B342" s="1" t="s">
        <v>21</v>
      </c>
      <c r="C342" s="2">
        <v>170806</v>
      </c>
      <c r="D342" s="2">
        <v>15140</v>
      </c>
      <c r="E342" s="1">
        <v>622</v>
      </c>
      <c r="F342" s="1">
        <v>4.3899999999999997</v>
      </c>
      <c r="G342" s="1">
        <v>10565</v>
      </c>
      <c r="H342" s="1">
        <v>13.58</v>
      </c>
      <c r="I342" s="1" t="s">
        <v>23</v>
      </c>
      <c r="J342" s="1" t="s">
        <v>17</v>
      </c>
      <c r="K342" s="26">
        <v>2</v>
      </c>
    </row>
    <row r="343" spans="1:11" x14ac:dyDescent="0.25">
      <c r="A343" s="25" t="s">
        <v>15</v>
      </c>
      <c r="B343" s="1" t="s">
        <v>21</v>
      </c>
      <c r="C343" s="2">
        <v>82588</v>
      </c>
      <c r="D343" s="2">
        <v>32655</v>
      </c>
      <c r="E343" s="1">
        <v>164</v>
      </c>
      <c r="F343" s="1">
        <v>1.25</v>
      </c>
      <c r="G343" s="1">
        <v>10671</v>
      </c>
      <c r="H343" s="1">
        <v>8.36</v>
      </c>
      <c r="I343" s="1" t="s">
        <v>22</v>
      </c>
      <c r="J343" s="1" t="s">
        <v>17</v>
      </c>
      <c r="K343" s="26">
        <v>3</v>
      </c>
    </row>
    <row r="344" spans="1:11" x14ac:dyDescent="0.25">
      <c r="A344" s="25" t="s">
        <v>11</v>
      </c>
      <c r="B344" s="1" t="s">
        <v>19</v>
      </c>
      <c r="C344" s="2">
        <v>73646</v>
      </c>
      <c r="D344" s="2">
        <v>44472</v>
      </c>
      <c r="E344" s="1">
        <v>898</v>
      </c>
      <c r="F344" s="1">
        <v>2.34</v>
      </c>
      <c r="G344" s="1">
        <v>18196</v>
      </c>
      <c r="H344" s="1">
        <v>28.77</v>
      </c>
      <c r="I344" s="1" t="s">
        <v>26</v>
      </c>
      <c r="J344" s="1" t="s">
        <v>20</v>
      </c>
      <c r="K344" s="26">
        <v>1</v>
      </c>
    </row>
    <row r="345" spans="1:11" x14ac:dyDescent="0.25">
      <c r="A345" s="25" t="s">
        <v>24</v>
      </c>
      <c r="B345" s="1" t="s">
        <v>27</v>
      </c>
      <c r="C345" s="2">
        <v>13654</v>
      </c>
      <c r="D345" s="2">
        <v>7816</v>
      </c>
      <c r="E345" s="1">
        <v>358</v>
      </c>
      <c r="F345" s="1">
        <v>1.27</v>
      </c>
      <c r="G345" s="1">
        <v>3462</v>
      </c>
      <c r="H345" s="1">
        <v>4.28</v>
      </c>
      <c r="I345" s="1" t="s">
        <v>26</v>
      </c>
      <c r="J345" s="1" t="s">
        <v>20</v>
      </c>
      <c r="K345" s="26">
        <v>8</v>
      </c>
    </row>
    <row r="346" spans="1:11" x14ac:dyDescent="0.25">
      <c r="A346" s="25" t="s">
        <v>11</v>
      </c>
      <c r="B346" s="1" t="s">
        <v>25</v>
      </c>
      <c r="C346" s="2">
        <v>28743</v>
      </c>
      <c r="D346" s="2">
        <v>12639</v>
      </c>
      <c r="E346" s="1">
        <v>460</v>
      </c>
      <c r="F346" s="1">
        <v>4.9000000000000004</v>
      </c>
      <c r="G346" s="1">
        <v>14351</v>
      </c>
      <c r="H346" s="1">
        <v>17.39</v>
      </c>
      <c r="I346" s="1" t="s">
        <v>22</v>
      </c>
      <c r="J346" s="1" t="s">
        <v>17</v>
      </c>
      <c r="K346" s="26">
        <v>6</v>
      </c>
    </row>
    <row r="347" spans="1:11" x14ac:dyDescent="0.25">
      <c r="A347" s="25" t="s">
        <v>11</v>
      </c>
      <c r="B347" s="1" t="s">
        <v>25</v>
      </c>
      <c r="C347" s="2">
        <v>58368</v>
      </c>
      <c r="D347" s="2">
        <v>48192</v>
      </c>
      <c r="E347" s="1">
        <v>885</v>
      </c>
      <c r="F347" s="1">
        <v>4.2699999999999996</v>
      </c>
      <c r="G347" s="1">
        <v>19822</v>
      </c>
      <c r="H347" s="1">
        <v>8.48</v>
      </c>
      <c r="I347" s="1" t="s">
        <v>13</v>
      </c>
      <c r="J347" s="1" t="s">
        <v>17</v>
      </c>
      <c r="K347" s="26">
        <v>2</v>
      </c>
    </row>
    <row r="348" spans="1:11" x14ac:dyDescent="0.25">
      <c r="A348" s="25" t="s">
        <v>11</v>
      </c>
      <c r="B348" s="1" t="s">
        <v>25</v>
      </c>
      <c r="C348" s="2">
        <v>147513</v>
      </c>
      <c r="D348" s="2">
        <v>47733</v>
      </c>
      <c r="E348" s="1">
        <v>662</v>
      </c>
      <c r="F348" s="1">
        <v>4.41</v>
      </c>
      <c r="G348" s="1">
        <v>13479</v>
      </c>
      <c r="H348" s="1">
        <v>8.3699999999999992</v>
      </c>
      <c r="I348" s="1" t="s">
        <v>13</v>
      </c>
      <c r="J348" s="1" t="s">
        <v>20</v>
      </c>
      <c r="K348" s="26">
        <v>8</v>
      </c>
    </row>
    <row r="349" spans="1:11" x14ac:dyDescent="0.25">
      <c r="A349" s="25" t="s">
        <v>15</v>
      </c>
      <c r="B349" s="1" t="s">
        <v>21</v>
      </c>
      <c r="C349" s="2">
        <v>129735</v>
      </c>
      <c r="D349" s="2">
        <v>30492</v>
      </c>
      <c r="E349" s="1">
        <v>182</v>
      </c>
      <c r="F349" s="1">
        <v>4.75</v>
      </c>
      <c r="G349" s="1">
        <v>5796</v>
      </c>
      <c r="H349" s="1">
        <v>12.15</v>
      </c>
      <c r="I349" s="1" t="s">
        <v>23</v>
      </c>
      <c r="J349" s="1" t="s">
        <v>20</v>
      </c>
      <c r="K349" s="26">
        <v>6</v>
      </c>
    </row>
    <row r="350" spans="1:11" x14ac:dyDescent="0.25">
      <c r="A350" s="25" t="s">
        <v>15</v>
      </c>
      <c r="B350" s="1" t="s">
        <v>21</v>
      </c>
      <c r="C350" s="2">
        <v>165683</v>
      </c>
      <c r="D350" s="2">
        <v>12240</v>
      </c>
      <c r="E350" s="1">
        <v>19</v>
      </c>
      <c r="F350" s="1">
        <v>1.34</v>
      </c>
      <c r="G350" s="1">
        <v>15245</v>
      </c>
      <c r="H350" s="1">
        <v>29.96</v>
      </c>
      <c r="I350" s="1" t="s">
        <v>26</v>
      </c>
      <c r="J350" s="1" t="s">
        <v>17</v>
      </c>
      <c r="K350" s="26">
        <v>7</v>
      </c>
    </row>
    <row r="351" spans="1:11" x14ac:dyDescent="0.25">
      <c r="A351" s="25" t="s">
        <v>11</v>
      </c>
      <c r="B351" s="1" t="s">
        <v>27</v>
      </c>
      <c r="C351" s="2">
        <v>129891</v>
      </c>
      <c r="D351" s="2">
        <v>33698</v>
      </c>
      <c r="E351" s="1">
        <v>749</v>
      </c>
      <c r="F351" s="1">
        <v>2.54</v>
      </c>
      <c r="G351" s="1">
        <v>6230</v>
      </c>
      <c r="H351" s="1">
        <v>1.65</v>
      </c>
      <c r="I351" s="1" t="s">
        <v>13</v>
      </c>
      <c r="J351" s="1" t="s">
        <v>17</v>
      </c>
      <c r="K351" s="26">
        <v>1</v>
      </c>
    </row>
    <row r="352" spans="1:11" x14ac:dyDescent="0.25">
      <c r="A352" s="25" t="s">
        <v>15</v>
      </c>
      <c r="B352" s="1" t="s">
        <v>25</v>
      </c>
      <c r="C352" s="2">
        <v>117971</v>
      </c>
      <c r="D352" s="2">
        <v>27957</v>
      </c>
      <c r="E352" s="1">
        <v>274</v>
      </c>
      <c r="F352" s="1">
        <v>1.28</v>
      </c>
      <c r="G352" s="1">
        <v>14421</v>
      </c>
      <c r="H352" s="1">
        <v>17.36</v>
      </c>
      <c r="I352" s="1" t="s">
        <v>13</v>
      </c>
      <c r="J352" s="1" t="s">
        <v>17</v>
      </c>
      <c r="K352" s="26">
        <v>7</v>
      </c>
    </row>
    <row r="353" spans="1:11" x14ac:dyDescent="0.25">
      <c r="A353" s="25" t="s">
        <v>18</v>
      </c>
      <c r="B353" s="1" t="s">
        <v>25</v>
      </c>
      <c r="C353" s="2">
        <v>22149</v>
      </c>
      <c r="D353" s="2">
        <v>33808</v>
      </c>
      <c r="E353" s="1">
        <v>447</v>
      </c>
      <c r="F353" s="1">
        <v>1.84</v>
      </c>
      <c r="G353" s="1">
        <v>626</v>
      </c>
      <c r="H353" s="1">
        <v>2.48</v>
      </c>
      <c r="I353" s="1" t="s">
        <v>26</v>
      </c>
      <c r="J353" s="1" t="s">
        <v>20</v>
      </c>
      <c r="K353" s="26">
        <v>3</v>
      </c>
    </row>
    <row r="354" spans="1:11" x14ac:dyDescent="0.25">
      <c r="A354" s="25" t="s">
        <v>18</v>
      </c>
      <c r="B354" s="1" t="s">
        <v>19</v>
      </c>
      <c r="C354" s="2">
        <v>110102</v>
      </c>
      <c r="D354" s="2">
        <v>6827</v>
      </c>
      <c r="E354" s="1">
        <v>769</v>
      </c>
      <c r="F354" s="1">
        <v>1.92</v>
      </c>
      <c r="G354" s="1">
        <v>6102</v>
      </c>
      <c r="H354" s="1">
        <v>4.6399999999999997</v>
      </c>
      <c r="I354" s="1" t="s">
        <v>16</v>
      </c>
      <c r="J354" s="1" t="s">
        <v>17</v>
      </c>
      <c r="K354" s="26">
        <v>8</v>
      </c>
    </row>
    <row r="355" spans="1:11" x14ac:dyDescent="0.25">
      <c r="A355" s="25" t="s">
        <v>15</v>
      </c>
      <c r="B355" s="1" t="s">
        <v>21</v>
      </c>
      <c r="C355" s="2">
        <v>69189</v>
      </c>
      <c r="D355" s="2">
        <v>33762</v>
      </c>
      <c r="E355" s="1">
        <v>256</v>
      </c>
      <c r="F355" s="1">
        <v>2.88</v>
      </c>
      <c r="G355" s="1">
        <v>18075</v>
      </c>
      <c r="H355" s="1">
        <v>13.19</v>
      </c>
      <c r="I355" s="1" t="s">
        <v>13</v>
      </c>
      <c r="J355" s="1" t="s">
        <v>14</v>
      </c>
      <c r="K355" s="26">
        <v>6</v>
      </c>
    </row>
    <row r="356" spans="1:11" x14ac:dyDescent="0.25">
      <c r="A356" s="25" t="s">
        <v>15</v>
      </c>
      <c r="B356" s="1" t="s">
        <v>25</v>
      </c>
      <c r="C356" s="2">
        <v>162747</v>
      </c>
      <c r="D356" s="2">
        <v>9259</v>
      </c>
      <c r="E356" s="1">
        <v>676</v>
      </c>
      <c r="F356" s="1">
        <v>2.0699999999999998</v>
      </c>
      <c r="G356" s="1">
        <v>19523</v>
      </c>
      <c r="H356" s="1">
        <v>15.31</v>
      </c>
      <c r="I356" s="1" t="s">
        <v>22</v>
      </c>
      <c r="J356" s="1" t="s">
        <v>20</v>
      </c>
      <c r="K356" s="26">
        <v>4</v>
      </c>
    </row>
    <row r="357" spans="1:11" x14ac:dyDescent="0.25">
      <c r="A357" s="25" t="s">
        <v>11</v>
      </c>
      <c r="B357" s="1" t="s">
        <v>27</v>
      </c>
      <c r="C357" s="2">
        <v>81031</v>
      </c>
      <c r="D357" s="2">
        <v>15849</v>
      </c>
      <c r="E357" s="1">
        <v>555</v>
      </c>
      <c r="F357" s="1">
        <v>1.4</v>
      </c>
      <c r="G357" s="1">
        <v>13081</v>
      </c>
      <c r="H357" s="1">
        <v>7.76</v>
      </c>
      <c r="I357" s="1" t="s">
        <v>23</v>
      </c>
      <c r="J357" s="1" t="s">
        <v>17</v>
      </c>
      <c r="K357" s="26">
        <v>8</v>
      </c>
    </row>
    <row r="358" spans="1:11" x14ac:dyDescent="0.25">
      <c r="A358" s="25" t="s">
        <v>24</v>
      </c>
      <c r="B358" s="1" t="s">
        <v>27</v>
      </c>
      <c r="C358" s="2">
        <v>52668</v>
      </c>
      <c r="D358" s="2">
        <v>17232</v>
      </c>
      <c r="E358" s="1">
        <v>508</v>
      </c>
      <c r="F358" s="1">
        <v>1.67</v>
      </c>
      <c r="G358" s="1">
        <v>16497</v>
      </c>
      <c r="H358" s="1">
        <v>9.49</v>
      </c>
      <c r="I358" s="1" t="s">
        <v>13</v>
      </c>
      <c r="J358" s="1" t="s">
        <v>20</v>
      </c>
      <c r="K358" s="26">
        <v>9</v>
      </c>
    </row>
    <row r="359" spans="1:11" x14ac:dyDescent="0.25">
      <c r="A359" s="25" t="s">
        <v>15</v>
      </c>
      <c r="B359" s="1" t="s">
        <v>25</v>
      </c>
      <c r="C359" s="2">
        <v>154745</v>
      </c>
      <c r="D359" s="2">
        <v>41572</v>
      </c>
      <c r="E359" s="1">
        <v>138</v>
      </c>
      <c r="F359" s="1">
        <v>1.59</v>
      </c>
      <c r="G359" s="1">
        <v>18250</v>
      </c>
      <c r="H359" s="1">
        <v>2.61</v>
      </c>
      <c r="I359" s="1" t="s">
        <v>13</v>
      </c>
      <c r="J359" s="1" t="s">
        <v>14</v>
      </c>
      <c r="K359" s="26">
        <v>2</v>
      </c>
    </row>
    <row r="360" spans="1:11" x14ac:dyDescent="0.25">
      <c r="A360" s="25" t="s">
        <v>18</v>
      </c>
      <c r="B360" s="1" t="s">
        <v>21</v>
      </c>
      <c r="C360" s="2">
        <v>98204</v>
      </c>
      <c r="D360" s="2">
        <v>25173</v>
      </c>
      <c r="E360" s="1">
        <v>681</v>
      </c>
      <c r="F360" s="1">
        <v>4.8899999999999997</v>
      </c>
      <c r="G360" s="1">
        <v>9711</v>
      </c>
      <c r="H360" s="1">
        <v>9.1</v>
      </c>
      <c r="I360" s="1" t="s">
        <v>16</v>
      </c>
      <c r="J360" s="1" t="s">
        <v>20</v>
      </c>
      <c r="K360" s="26">
        <v>6</v>
      </c>
    </row>
    <row r="361" spans="1:11" x14ac:dyDescent="0.25">
      <c r="A361" s="25" t="s">
        <v>11</v>
      </c>
      <c r="B361" s="1" t="s">
        <v>27</v>
      </c>
      <c r="C361" s="2">
        <v>164741</v>
      </c>
      <c r="D361" s="2">
        <v>6374</v>
      </c>
      <c r="E361" s="1">
        <v>610</v>
      </c>
      <c r="F361" s="1">
        <v>4.04</v>
      </c>
      <c r="G361" s="1">
        <v>15497</v>
      </c>
      <c r="H361" s="1">
        <v>29</v>
      </c>
      <c r="I361" s="1" t="s">
        <v>22</v>
      </c>
      <c r="J361" s="1" t="s">
        <v>17</v>
      </c>
      <c r="K361" s="26">
        <v>5</v>
      </c>
    </row>
    <row r="362" spans="1:11" x14ac:dyDescent="0.25">
      <c r="A362" s="25" t="s">
        <v>15</v>
      </c>
      <c r="B362" s="1" t="s">
        <v>19</v>
      </c>
      <c r="C362" s="2">
        <v>175140</v>
      </c>
      <c r="D362" s="2">
        <v>22174</v>
      </c>
      <c r="E362" s="1">
        <v>614</v>
      </c>
      <c r="F362" s="1">
        <v>4.87</v>
      </c>
      <c r="G362" s="1">
        <v>7171</v>
      </c>
      <c r="H362" s="1">
        <v>28.34</v>
      </c>
      <c r="I362" s="1" t="s">
        <v>23</v>
      </c>
      <c r="J362" s="1" t="s">
        <v>14</v>
      </c>
      <c r="K362" s="26">
        <v>5</v>
      </c>
    </row>
    <row r="363" spans="1:11" x14ac:dyDescent="0.25">
      <c r="A363" s="25" t="s">
        <v>18</v>
      </c>
      <c r="B363" s="1" t="s">
        <v>27</v>
      </c>
      <c r="C363" s="2">
        <v>150507</v>
      </c>
      <c r="D363" s="2">
        <v>24567</v>
      </c>
      <c r="E363" s="1">
        <v>336</v>
      </c>
      <c r="F363" s="1">
        <v>2.76</v>
      </c>
      <c r="G363" s="1">
        <v>12771</v>
      </c>
      <c r="H363" s="1">
        <v>10.050000000000001</v>
      </c>
      <c r="I363" s="1" t="s">
        <v>13</v>
      </c>
      <c r="J363" s="1" t="s">
        <v>14</v>
      </c>
      <c r="K363" s="26">
        <v>3</v>
      </c>
    </row>
    <row r="364" spans="1:11" x14ac:dyDescent="0.25">
      <c r="A364" s="25" t="s">
        <v>18</v>
      </c>
      <c r="B364" s="1" t="s">
        <v>12</v>
      </c>
      <c r="C364" s="2">
        <v>193321</v>
      </c>
      <c r="D364" s="2">
        <v>36292</v>
      </c>
      <c r="E364" s="1">
        <v>762</v>
      </c>
      <c r="F364" s="1">
        <v>2.11</v>
      </c>
      <c r="G364" s="1">
        <v>9376</v>
      </c>
      <c r="H364" s="1">
        <v>17.13</v>
      </c>
      <c r="I364" s="1" t="s">
        <v>23</v>
      </c>
      <c r="J364" s="1" t="s">
        <v>17</v>
      </c>
      <c r="K364" s="26">
        <v>8</v>
      </c>
    </row>
    <row r="365" spans="1:11" x14ac:dyDescent="0.25">
      <c r="A365" s="25" t="s">
        <v>24</v>
      </c>
      <c r="B365" s="1" t="s">
        <v>12</v>
      </c>
      <c r="C365" s="2">
        <v>47384</v>
      </c>
      <c r="D365" s="2">
        <v>10277</v>
      </c>
      <c r="E365" s="1">
        <v>844</v>
      </c>
      <c r="F365" s="1">
        <v>4.1900000000000004</v>
      </c>
      <c r="G365" s="1">
        <v>3387</v>
      </c>
      <c r="H365" s="1">
        <v>27.29</v>
      </c>
      <c r="I365" s="1" t="s">
        <v>26</v>
      </c>
      <c r="J365" s="1" t="s">
        <v>17</v>
      </c>
      <c r="K365" s="26">
        <v>8</v>
      </c>
    </row>
    <row r="366" spans="1:11" x14ac:dyDescent="0.25">
      <c r="A366" s="25" t="s">
        <v>11</v>
      </c>
      <c r="B366" s="1" t="s">
        <v>21</v>
      </c>
      <c r="C366" s="2">
        <v>91929</v>
      </c>
      <c r="D366" s="2">
        <v>32600</v>
      </c>
      <c r="E366" s="1">
        <v>989</v>
      </c>
      <c r="F366" s="1">
        <v>2.31</v>
      </c>
      <c r="G366" s="1">
        <v>10154</v>
      </c>
      <c r="H366" s="1">
        <v>0.19</v>
      </c>
      <c r="I366" s="1" t="s">
        <v>13</v>
      </c>
      <c r="J366" s="1" t="s">
        <v>17</v>
      </c>
      <c r="K366" s="26">
        <v>5</v>
      </c>
    </row>
    <row r="367" spans="1:11" x14ac:dyDescent="0.25">
      <c r="A367" s="25" t="s">
        <v>11</v>
      </c>
      <c r="B367" s="1" t="s">
        <v>25</v>
      </c>
      <c r="C367" s="2">
        <v>137959</v>
      </c>
      <c r="D367" s="2">
        <v>10885</v>
      </c>
      <c r="E367" s="1">
        <v>413</v>
      </c>
      <c r="F367" s="1">
        <v>2.2000000000000002</v>
      </c>
      <c r="G367" s="1">
        <v>4586</v>
      </c>
      <c r="H367" s="1">
        <v>24.32</v>
      </c>
      <c r="I367" s="1" t="s">
        <v>13</v>
      </c>
      <c r="J367" s="1" t="s">
        <v>20</v>
      </c>
      <c r="K367" s="26">
        <v>8</v>
      </c>
    </row>
    <row r="368" spans="1:11" x14ac:dyDescent="0.25">
      <c r="A368" s="25" t="s">
        <v>24</v>
      </c>
      <c r="B368" s="1" t="s">
        <v>21</v>
      </c>
      <c r="C368" s="2">
        <v>86153</v>
      </c>
      <c r="D368" s="2">
        <v>1778</v>
      </c>
      <c r="E368" s="1">
        <v>638</v>
      </c>
      <c r="F368" s="1">
        <v>1.93</v>
      </c>
      <c r="G368" s="1">
        <v>19145</v>
      </c>
      <c r="H368" s="1">
        <v>28.45</v>
      </c>
      <c r="I368" s="1" t="s">
        <v>26</v>
      </c>
      <c r="J368" s="1" t="s">
        <v>20</v>
      </c>
      <c r="K368" s="26">
        <v>8</v>
      </c>
    </row>
    <row r="369" spans="1:11" x14ac:dyDescent="0.25">
      <c r="A369" s="25" t="s">
        <v>24</v>
      </c>
      <c r="B369" s="1" t="s">
        <v>21</v>
      </c>
      <c r="C369" s="2">
        <v>85388</v>
      </c>
      <c r="D369" s="2">
        <v>30165</v>
      </c>
      <c r="E369" s="1">
        <v>615</v>
      </c>
      <c r="F369" s="1">
        <v>1.52</v>
      </c>
      <c r="G369" s="1">
        <v>4680</v>
      </c>
      <c r="H369" s="1">
        <v>2.74</v>
      </c>
      <c r="I369" s="1" t="s">
        <v>16</v>
      </c>
      <c r="J369" s="1" t="s">
        <v>20</v>
      </c>
      <c r="K369" s="26">
        <v>3</v>
      </c>
    </row>
    <row r="370" spans="1:11" x14ac:dyDescent="0.25">
      <c r="A370" s="25" t="s">
        <v>11</v>
      </c>
      <c r="B370" s="1" t="s">
        <v>21</v>
      </c>
      <c r="C370" s="2">
        <v>41401</v>
      </c>
      <c r="D370" s="2">
        <v>2492</v>
      </c>
      <c r="E370" s="1">
        <v>684</v>
      </c>
      <c r="F370" s="1">
        <v>2.0299999999999998</v>
      </c>
      <c r="G370" s="1">
        <v>3341</v>
      </c>
      <c r="H370" s="1">
        <v>4.84</v>
      </c>
      <c r="I370" s="1" t="s">
        <v>13</v>
      </c>
      <c r="J370" s="1" t="s">
        <v>17</v>
      </c>
      <c r="K370" s="26">
        <v>2</v>
      </c>
    </row>
    <row r="371" spans="1:11" x14ac:dyDescent="0.25">
      <c r="A371" s="25" t="s">
        <v>11</v>
      </c>
      <c r="B371" s="1" t="s">
        <v>21</v>
      </c>
      <c r="C371" s="2">
        <v>129503</v>
      </c>
      <c r="D371" s="2">
        <v>31462</v>
      </c>
      <c r="E371" s="1">
        <v>620</v>
      </c>
      <c r="F371" s="1">
        <v>2.42</v>
      </c>
      <c r="G371" s="1">
        <v>6540</v>
      </c>
      <c r="H371" s="1">
        <v>28.82</v>
      </c>
      <c r="I371" s="1" t="s">
        <v>23</v>
      </c>
      <c r="J371" s="1" t="s">
        <v>17</v>
      </c>
      <c r="K371" s="26">
        <v>9</v>
      </c>
    </row>
    <row r="372" spans="1:11" x14ac:dyDescent="0.25">
      <c r="A372" s="25" t="s">
        <v>15</v>
      </c>
      <c r="B372" s="1" t="s">
        <v>19</v>
      </c>
      <c r="C372" s="2">
        <v>137834</v>
      </c>
      <c r="D372" s="2">
        <v>14615</v>
      </c>
      <c r="E372" s="1">
        <v>634</v>
      </c>
      <c r="F372" s="1">
        <v>3.7</v>
      </c>
      <c r="G372" s="1">
        <v>10804</v>
      </c>
      <c r="H372" s="1">
        <v>16.13</v>
      </c>
      <c r="I372" s="1" t="s">
        <v>22</v>
      </c>
      <c r="J372" s="1" t="s">
        <v>20</v>
      </c>
      <c r="K372" s="26">
        <v>2</v>
      </c>
    </row>
    <row r="373" spans="1:11" x14ac:dyDescent="0.25">
      <c r="A373" s="25" t="s">
        <v>15</v>
      </c>
      <c r="B373" s="1" t="s">
        <v>19</v>
      </c>
      <c r="C373" s="2">
        <v>44084</v>
      </c>
      <c r="D373" s="2">
        <v>45900</v>
      </c>
      <c r="E373" s="1">
        <v>368</v>
      </c>
      <c r="F373" s="1">
        <v>1.25</v>
      </c>
      <c r="G373" s="1">
        <v>5258</v>
      </c>
      <c r="H373" s="1">
        <v>0.43</v>
      </c>
      <c r="I373" s="1" t="s">
        <v>23</v>
      </c>
      <c r="J373" s="1" t="s">
        <v>14</v>
      </c>
      <c r="K373" s="26">
        <v>9</v>
      </c>
    </row>
    <row r="374" spans="1:11" x14ac:dyDescent="0.25">
      <c r="A374" s="25" t="s">
        <v>24</v>
      </c>
      <c r="B374" s="1" t="s">
        <v>27</v>
      </c>
      <c r="C374" s="2">
        <v>120641</v>
      </c>
      <c r="D374" s="2">
        <v>43946</v>
      </c>
      <c r="E374" s="1">
        <v>612</v>
      </c>
      <c r="F374" s="1">
        <v>1.84</v>
      </c>
      <c r="G374" s="1">
        <v>17510</v>
      </c>
      <c r="H374" s="1">
        <v>7.73</v>
      </c>
      <c r="I374" s="1" t="s">
        <v>16</v>
      </c>
      <c r="J374" s="1" t="s">
        <v>20</v>
      </c>
      <c r="K374" s="26">
        <v>4</v>
      </c>
    </row>
    <row r="375" spans="1:11" x14ac:dyDescent="0.25">
      <c r="A375" s="25" t="s">
        <v>15</v>
      </c>
      <c r="B375" s="1" t="s">
        <v>12</v>
      </c>
      <c r="C375" s="2">
        <v>115111</v>
      </c>
      <c r="D375" s="2">
        <v>8851</v>
      </c>
      <c r="E375" s="1">
        <v>867</v>
      </c>
      <c r="F375" s="1">
        <v>4.24</v>
      </c>
      <c r="G375" s="1">
        <v>16734</v>
      </c>
      <c r="H375" s="1">
        <v>13.5</v>
      </c>
      <c r="I375" s="1" t="s">
        <v>22</v>
      </c>
      <c r="J375" s="1" t="s">
        <v>14</v>
      </c>
      <c r="K375" s="26">
        <v>2</v>
      </c>
    </row>
    <row r="376" spans="1:11" x14ac:dyDescent="0.25">
      <c r="A376" s="25" t="s">
        <v>18</v>
      </c>
      <c r="B376" s="1" t="s">
        <v>21</v>
      </c>
      <c r="C376" s="2">
        <v>196898</v>
      </c>
      <c r="D376" s="2">
        <v>17288</v>
      </c>
      <c r="E376" s="1">
        <v>727</v>
      </c>
      <c r="F376" s="1">
        <v>1.59</v>
      </c>
      <c r="G376" s="1">
        <v>5514</v>
      </c>
      <c r="H376" s="1">
        <v>20.79</v>
      </c>
      <c r="I376" s="1" t="s">
        <v>23</v>
      </c>
      <c r="J376" s="1" t="s">
        <v>17</v>
      </c>
      <c r="K376" s="26">
        <v>1</v>
      </c>
    </row>
    <row r="377" spans="1:11" x14ac:dyDescent="0.25">
      <c r="A377" s="25" t="s">
        <v>15</v>
      </c>
      <c r="B377" s="1" t="s">
        <v>27</v>
      </c>
      <c r="C377" s="2">
        <v>177523</v>
      </c>
      <c r="D377" s="2">
        <v>8156</v>
      </c>
      <c r="E377" s="1">
        <v>26</v>
      </c>
      <c r="F377" s="1">
        <v>2.37</v>
      </c>
      <c r="G377" s="1">
        <v>1875</v>
      </c>
      <c r="H377" s="1">
        <v>21.99</v>
      </c>
      <c r="I377" s="1" t="s">
        <v>23</v>
      </c>
      <c r="J377" s="1" t="s">
        <v>17</v>
      </c>
      <c r="K377" s="26">
        <v>4</v>
      </c>
    </row>
    <row r="378" spans="1:11" x14ac:dyDescent="0.25">
      <c r="A378" s="25" t="s">
        <v>15</v>
      </c>
      <c r="B378" s="1" t="s">
        <v>12</v>
      </c>
      <c r="C378" s="2">
        <v>148299</v>
      </c>
      <c r="D378" s="2">
        <v>3044</v>
      </c>
      <c r="E378" s="1">
        <v>283</v>
      </c>
      <c r="F378" s="1">
        <v>4.46</v>
      </c>
      <c r="G378" s="1">
        <v>1681</v>
      </c>
      <c r="H378" s="1">
        <v>29.86</v>
      </c>
      <c r="I378" s="1" t="s">
        <v>26</v>
      </c>
      <c r="J378" s="1" t="s">
        <v>20</v>
      </c>
      <c r="K378" s="26">
        <v>9</v>
      </c>
    </row>
    <row r="379" spans="1:11" x14ac:dyDescent="0.25">
      <c r="A379" s="25" t="s">
        <v>18</v>
      </c>
      <c r="B379" s="1" t="s">
        <v>25</v>
      </c>
      <c r="C379" s="2">
        <v>172982</v>
      </c>
      <c r="D379" s="2">
        <v>8368</v>
      </c>
      <c r="E379" s="1">
        <v>694</v>
      </c>
      <c r="F379" s="1">
        <v>1.62</v>
      </c>
      <c r="G379" s="1">
        <v>990</v>
      </c>
      <c r="H379" s="1">
        <v>8.6300000000000008</v>
      </c>
      <c r="I379" s="1" t="s">
        <v>16</v>
      </c>
      <c r="J379" s="1" t="s">
        <v>20</v>
      </c>
      <c r="K379" s="26">
        <v>9</v>
      </c>
    </row>
    <row r="380" spans="1:11" x14ac:dyDescent="0.25">
      <c r="A380" s="25" t="s">
        <v>24</v>
      </c>
      <c r="B380" s="1" t="s">
        <v>19</v>
      </c>
      <c r="C380" s="2">
        <v>46041</v>
      </c>
      <c r="D380" s="2">
        <v>20900</v>
      </c>
      <c r="E380" s="1">
        <v>125</v>
      </c>
      <c r="F380" s="1">
        <v>1.33</v>
      </c>
      <c r="G380" s="1">
        <v>4229</v>
      </c>
      <c r="H380" s="1">
        <v>16.149999999999999</v>
      </c>
      <c r="I380" s="1" t="s">
        <v>26</v>
      </c>
      <c r="J380" s="1" t="s">
        <v>17</v>
      </c>
      <c r="K380" s="26">
        <v>4</v>
      </c>
    </row>
    <row r="381" spans="1:11" x14ac:dyDescent="0.25">
      <c r="A381" s="25" t="s">
        <v>18</v>
      </c>
      <c r="B381" s="1" t="s">
        <v>12</v>
      </c>
      <c r="C381" s="2">
        <v>98920</v>
      </c>
      <c r="D381" s="2">
        <v>31600</v>
      </c>
      <c r="E381" s="1">
        <v>870</v>
      </c>
      <c r="F381" s="1">
        <v>2.94</v>
      </c>
      <c r="G381" s="1">
        <v>6474</v>
      </c>
      <c r="H381" s="1">
        <v>16</v>
      </c>
      <c r="I381" s="1" t="s">
        <v>22</v>
      </c>
      <c r="J381" s="1" t="s">
        <v>20</v>
      </c>
      <c r="K381" s="26">
        <v>9</v>
      </c>
    </row>
    <row r="382" spans="1:11" x14ac:dyDescent="0.25">
      <c r="A382" s="25" t="s">
        <v>15</v>
      </c>
      <c r="B382" s="1" t="s">
        <v>25</v>
      </c>
      <c r="C382" s="2">
        <v>75681</v>
      </c>
      <c r="D382" s="2">
        <v>47403</v>
      </c>
      <c r="E382" s="1">
        <v>989</v>
      </c>
      <c r="F382" s="1">
        <v>2.21</v>
      </c>
      <c r="G382" s="1">
        <v>18824</v>
      </c>
      <c r="H382" s="1">
        <v>12.17</v>
      </c>
      <c r="I382" s="1" t="s">
        <v>26</v>
      </c>
      <c r="J382" s="1" t="s">
        <v>17</v>
      </c>
      <c r="K382" s="26">
        <v>6</v>
      </c>
    </row>
    <row r="383" spans="1:11" x14ac:dyDescent="0.25">
      <c r="A383" s="25" t="s">
        <v>24</v>
      </c>
      <c r="B383" s="1" t="s">
        <v>12</v>
      </c>
      <c r="C383" s="2">
        <v>91571</v>
      </c>
      <c r="D383" s="2">
        <v>26634</v>
      </c>
      <c r="E383" s="1">
        <v>702</v>
      </c>
      <c r="F383" s="1">
        <v>3.25</v>
      </c>
      <c r="G383" s="1">
        <v>2382</v>
      </c>
      <c r="H383" s="1">
        <v>5.07</v>
      </c>
      <c r="I383" s="1" t="s">
        <v>16</v>
      </c>
      <c r="J383" s="1" t="s">
        <v>17</v>
      </c>
      <c r="K383" s="26">
        <v>1</v>
      </c>
    </row>
    <row r="384" spans="1:11" x14ac:dyDescent="0.25">
      <c r="A384" s="25" t="s">
        <v>15</v>
      </c>
      <c r="B384" s="1" t="s">
        <v>19</v>
      </c>
      <c r="C384" s="2">
        <v>137556</v>
      </c>
      <c r="D384" s="2">
        <v>10168</v>
      </c>
      <c r="E384" s="1">
        <v>100</v>
      </c>
      <c r="F384" s="1">
        <v>4.22</v>
      </c>
      <c r="G384" s="1">
        <v>3487</v>
      </c>
      <c r="H384" s="1">
        <v>29.32</v>
      </c>
      <c r="I384" s="1" t="s">
        <v>13</v>
      </c>
      <c r="J384" s="1" t="s">
        <v>14</v>
      </c>
      <c r="K384" s="26">
        <v>6</v>
      </c>
    </row>
    <row r="385" spans="1:11" x14ac:dyDescent="0.25">
      <c r="A385" s="25" t="s">
        <v>18</v>
      </c>
      <c r="B385" s="1" t="s">
        <v>19</v>
      </c>
      <c r="C385" s="2">
        <v>36160</v>
      </c>
      <c r="D385" s="2">
        <v>21961</v>
      </c>
      <c r="E385" s="1">
        <v>91</v>
      </c>
      <c r="F385" s="1">
        <v>1.55</v>
      </c>
      <c r="G385" s="1">
        <v>6085</v>
      </c>
      <c r="H385" s="1">
        <v>25.6</v>
      </c>
      <c r="I385" s="1" t="s">
        <v>13</v>
      </c>
      <c r="J385" s="1" t="s">
        <v>20</v>
      </c>
      <c r="K385" s="26">
        <v>9</v>
      </c>
    </row>
    <row r="386" spans="1:11" x14ac:dyDescent="0.25">
      <c r="A386" s="25" t="s">
        <v>18</v>
      </c>
      <c r="B386" s="1" t="s">
        <v>27</v>
      </c>
      <c r="C386" s="2">
        <v>27633</v>
      </c>
      <c r="D386" s="2">
        <v>45096</v>
      </c>
      <c r="E386" s="1">
        <v>333</v>
      </c>
      <c r="F386" s="1">
        <v>3.32</v>
      </c>
      <c r="G386" s="1">
        <v>3659</v>
      </c>
      <c r="H386" s="1">
        <v>14.95</v>
      </c>
      <c r="I386" s="1" t="s">
        <v>22</v>
      </c>
      <c r="J386" s="1" t="s">
        <v>17</v>
      </c>
      <c r="K386" s="26">
        <v>2</v>
      </c>
    </row>
    <row r="387" spans="1:11" x14ac:dyDescent="0.25">
      <c r="A387" s="25" t="s">
        <v>15</v>
      </c>
      <c r="B387" s="1" t="s">
        <v>21</v>
      </c>
      <c r="C387" s="2">
        <v>27014</v>
      </c>
      <c r="D387" s="2">
        <v>47087</v>
      </c>
      <c r="E387" s="1">
        <v>970</v>
      </c>
      <c r="F387" s="1">
        <v>3.02</v>
      </c>
      <c r="G387" s="1">
        <v>5030</v>
      </c>
      <c r="H387" s="1">
        <v>18.100000000000001</v>
      </c>
      <c r="I387" s="1" t="s">
        <v>13</v>
      </c>
      <c r="J387" s="1" t="s">
        <v>20</v>
      </c>
      <c r="K387" s="26">
        <v>6</v>
      </c>
    </row>
    <row r="388" spans="1:11" x14ac:dyDescent="0.25">
      <c r="A388" s="25" t="s">
        <v>11</v>
      </c>
      <c r="B388" s="1" t="s">
        <v>12</v>
      </c>
      <c r="C388" s="2">
        <v>90532</v>
      </c>
      <c r="D388" s="2">
        <v>24852</v>
      </c>
      <c r="E388" s="1">
        <v>123</v>
      </c>
      <c r="F388" s="1">
        <v>1.58</v>
      </c>
      <c r="G388" s="1">
        <v>17565</v>
      </c>
      <c r="H388" s="1">
        <v>6.82</v>
      </c>
      <c r="I388" s="1" t="s">
        <v>26</v>
      </c>
      <c r="J388" s="1" t="s">
        <v>14</v>
      </c>
      <c r="K388" s="26">
        <v>2</v>
      </c>
    </row>
    <row r="389" spans="1:11" x14ac:dyDescent="0.25">
      <c r="A389" s="25" t="s">
        <v>11</v>
      </c>
      <c r="B389" s="1" t="s">
        <v>12</v>
      </c>
      <c r="C389" s="2">
        <v>59104</v>
      </c>
      <c r="D389" s="2">
        <v>34110</v>
      </c>
      <c r="E389" s="1">
        <v>778</v>
      </c>
      <c r="F389" s="1">
        <v>3.5</v>
      </c>
      <c r="G389" s="1">
        <v>1573</v>
      </c>
      <c r="H389" s="1">
        <v>16.309999999999999</v>
      </c>
      <c r="I389" s="1" t="s">
        <v>22</v>
      </c>
      <c r="J389" s="1" t="s">
        <v>14</v>
      </c>
      <c r="K389" s="26">
        <v>4</v>
      </c>
    </row>
    <row r="390" spans="1:11" x14ac:dyDescent="0.25">
      <c r="A390" s="25" t="s">
        <v>18</v>
      </c>
      <c r="B390" s="1" t="s">
        <v>25</v>
      </c>
      <c r="C390" s="2">
        <v>182693</v>
      </c>
      <c r="D390" s="2">
        <v>33174</v>
      </c>
      <c r="E390" s="1">
        <v>67</v>
      </c>
      <c r="F390" s="1">
        <v>2.09</v>
      </c>
      <c r="G390" s="1">
        <v>14243</v>
      </c>
      <c r="H390" s="1">
        <v>20.85</v>
      </c>
      <c r="I390" s="1" t="s">
        <v>16</v>
      </c>
      <c r="J390" s="1" t="s">
        <v>20</v>
      </c>
      <c r="K390" s="26">
        <v>8</v>
      </c>
    </row>
    <row r="391" spans="1:11" x14ac:dyDescent="0.25">
      <c r="A391" s="25" t="s">
        <v>18</v>
      </c>
      <c r="B391" s="1" t="s">
        <v>19</v>
      </c>
      <c r="C391" s="2">
        <v>87231</v>
      </c>
      <c r="D391" s="2">
        <v>35215</v>
      </c>
      <c r="E391" s="1">
        <v>163</v>
      </c>
      <c r="F391" s="1">
        <v>2.95</v>
      </c>
      <c r="G391" s="1">
        <v>19271</v>
      </c>
      <c r="H391" s="1">
        <v>15.46</v>
      </c>
      <c r="I391" s="1" t="s">
        <v>22</v>
      </c>
      <c r="J391" s="1" t="s">
        <v>20</v>
      </c>
      <c r="K391" s="26">
        <v>7</v>
      </c>
    </row>
    <row r="392" spans="1:11" x14ac:dyDescent="0.25">
      <c r="A392" s="25" t="s">
        <v>11</v>
      </c>
      <c r="B392" s="1" t="s">
        <v>12</v>
      </c>
      <c r="C392" s="2">
        <v>78388</v>
      </c>
      <c r="D392" s="2">
        <v>27955</v>
      </c>
      <c r="E392" s="1">
        <v>886</v>
      </c>
      <c r="F392" s="1">
        <v>1.33</v>
      </c>
      <c r="G392" s="1">
        <v>3193</v>
      </c>
      <c r="H392" s="1">
        <v>29.71</v>
      </c>
      <c r="I392" s="1" t="s">
        <v>22</v>
      </c>
      <c r="J392" s="1" t="s">
        <v>17</v>
      </c>
      <c r="K392" s="26">
        <v>9</v>
      </c>
    </row>
    <row r="393" spans="1:11" x14ac:dyDescent="0.25">
      <c r="A393" s="25" t="s">
        <v>11</v>
      </c>
      <c r="B393" s="1" t="s">
        <v>19</v>
      </c>
      <c r="C393" s="2">
        <v>26014</v>
      </c>
      <c r="D393" s="2">
        <v>7581</v>
      </c>
      <c r="E393" s="1">
        <v>413</v>
      </c>
      <c r="F393" s="1">
        <v>2.84</v>
      </c>
      <c r="G393" s="1">
        <v>10062</v>
      </c>
      <c r="H393" s="1">
        <v>18.34</v>
      </c>
      <c r="I393" s="1" t="s">
        <v>23</v>
      </c>
      <c r="J393" s="1" t="s">
        <v>14</v>
      </c>
      <c r="K393" s="26">
        <v>7</v>
      </c>
    </row>
    <row r="394" spans="1:11" x14ac:dyDescent="0.25">
      <c r="A394" s="25" t="s">
        <v>15</v>
      </c>
      <c r="B394" s="1" t="s">
        <v>12</v>
      </c>
      <c r="C394" s="2">
        <v>102578</v>
      </c>
      <c r="D394" s="2">
        <v>45619</v>
      </c>
      <c r="E394" s="1">
        <v>637</v>
      </c>
      <c r="F394" s="1">
        <v>2.23</v>
      </c>
      <c r="G394" s="1">
        <v>4840</v>
      </c>
      <c r="H394" s="1">
        <v>11.13</v>
      </c>
      <c r="I394" s="1" t="s">
        <v>23</v>
      </c>
      <c r="J394" s="1" t="s">
        <v>14</v>
      </c>
      <c r="K394" s="26">
        <v>1</v>
      </c>
    </row>
    <row r="395" spans="1:11" x14ac:dyDescent="0.25">
      <c r="A395" s="25" t="s">
        <v>15</v>
      </c>
      <c r="B395" s="1" t="s">
        <v>27</v>
      </c>
      <c r="C395" s="2">
        <v>174827</v>
      </c>
      <c r="D395" s="2">
        <v>7317</v>
      </c>
      <c r="E395" s="1">
        <v>864</v>
      </c>
      <c r="F395" s="1">
        <v>4.29</v>
      </c>
      <c r="G395" s="1">
        <v>2656</v>
      </c>
      <c r="H395" s="1">
        <v>23.16</v>
      </c>
      <c r="I395" s="1" t="s">
        <v>22</v>
      </c>
      <c r="J395" s="1" t="s">
        <v>14</v>
      </c>
      <c r="K395" s="26">
        <v>2</v>
      </c>
    </row>
    <row r="396" spans="1:11" x14ac:dyDescent="0.25">
      <c r="A396" s="25" t="s">
        <v>11</v>
      </c>
      <c r="B396" s="1" t="s">
        <v>21</v>
      </c>
      <c r="C396" s="2">
        <v>50390</v>
      </c>
      <c r="D396" s="2">
        <v>43856</v>
      </c>
      <c r="E396" s="1">
        <v>275</v>
      </c>
      <c r="F396" s="1">
        <v>1.23</v>
      </c>
      <c r="G396" s="1">
        <v>16684</v>
      </c>
      <c r="H396" s="1">
        <v>5.1100000000000003</v>
      </c>
      <c r="I396" s="1" t="s">
        <v>13</v>
      </c>
      <c r="J396" s="1" t="s">
        <v>20</v>
      </c>
      <c r="K396" s="26">
        <v>6</v>
      </c>
    </row>
    <row r="397" spans="1:11" x14ac:dyDescent="0.25">
      <c r="A397" s="25" t="s">
        <v>15</v>
      </c>
      <c r="B397" s="1" t="s">
        <v>12</v>
      </c>
      <c r="C397" s="2">
        <v>33711</v>
      </c>
      <c r="D397" s="2">
        <v>46714</v>
      </c>
      <c r="E397" s="1">
        <v>324</v>
      </c>
      <c r="F397" s="1">
        <v>2.67</v>
      </c>
      <c r="G397" s="1">
        <v>8466</v>
      </c>
      <c r="H397" s="1">
        <v>11.54</v>
      </c>
      <c r="I397" s="1" t="s">
        <v>23</v>
      </c>
      <c r="J397" s="1" t="s">
        <v>17</v>
      </c>
      <c r="K397" s="26">
        <v>7</v>
      </c>
    </row>
    <row r="398" spans="1:11" x14ac:dyDescent="0.25">
      <c r="A398" s="25" t="s">
        <v>15</v>
      </c>
      <c r="B398" s="1" t="s">
        <v>19</v>
      </c>
      <c r="C398" s="2">
        <v>101658</v>
      </c>
      <c r="D398" s="2">
        <v>27649</v>
      </c>
      <c r="E398" s="1">
        <v>724</v>
      </c>
      <c r="F398" s="1">
        <v>2.83</v>
      </c>
      <c r="G398" s="1">
        <v>3080</v>
      </c>
      <c r="H398" s="1">
        <v>10.41</v>
      </c>
      <c r="I398" s="1" t="s">
        <v>16</v>
      </c>
      <c r="J398" s="1" t="s">
        <v>20</v>
      </c>
      <c r="K398" s="26">
        <v>3</v>
      </c>
    </row>
    <row r="399" spans="1:11" x14ac:dyDescent="0.25">
      <c r="A399" s="25" t="s">
        <v>24</v>
      </c>
      <c r="B399" s="1" t="s">
        <v>27</v>
      </c>
      <c r="C399" s="2">
        <v>67993</v>
      </c>
      <c r="D399" s="2">
        <v>24132</v>
      </c>
      <c r="E399" s="1">
        <v>50</v>
      </c>
      <c r="F399" s="1">
        <v>3.9</v>
      </c>
      <c r="G399" s="1">
        <v>7757</v>
      </c>
      <c r="H399" s="1">
        <v>12.95</v>
      </c>
      <c r="I399" s="1" t="s">
        <v>26</v>
      </c>
      <c r="J399" s="1" t="s">
        <v>20</v>
      </c>
      <c r="K399" s="26">
        <v>9</v>
      </c>
    </row>
    <row r="400" spans="1:11" x14ac:dyDescent="0.25">
      <c r="A400" s="25" t="s">
        <v>15</v>
      </c>
      <c r="B400" s="1" t="s">
        <v>12</v>
      </c>
      <c r="C400" s="2">
        <v>168285</v>
      </c>
      <c r="D400" s="2">
        <v>17789</v>
      </c>
      <c r="E400" s="1">
        <v>114</v>
      </c>
      <c r="F400" s="1">
        <v>3.3</v>
      </c>
      <c r="G400" s="1">
        <v>2659</v>
      </c>
      <c r="H400" s="1">
        <v>23.45</v>
      </c>
      <c r="I400" s="1" t="s">
        <v>23</v>
      </c>
      <c r="J400" s="1" t="s">
        <v>20</v>
      </c>
      <c r="K400" s="26">
        <v>7</v>
      </c>
    </row>
    <row r="401" spans="1:11" x14ac:dyDescent="0.25">
      <c r="A401" s="25" t="s">
        <v>18</v>
      </c>
      <c r="B401" s="1" t="s">
        <v>25</v>
      </c>
      <c r="C401" s="2">
        <v>198856</v>
      </c>
      <c r="D401" s="2">
        <v>15567</v>
      </c>
      <c r="E401" s="1">
        <v>910</v>
      </c>
      <c r="F401" s="1">
        <v>3.67</v>
      </c>
      <c r="G401" s="1">
        <v>16672</v>
      </c>
      <c r="H401" s="1">
        <v>14.53</v>
      </c>
      <c r="I401" s="1" t="s">
        <v>22</v>
      </c>
      <c r="J401" s="1" t="s">
        <v>17</v>
      </c>
      <c r="K401" s="26">
        <v>6</v>
      </c>
    </row>
    <row r="402" spans="1:11" x14ac:dyDescent="0.25">
      <c r="A402" s="25" t="s">
        <v>15</v>
      </c>
      <c r="B402" s="1" t="s">
        <v>21</v>
      </c>
      <c r="C402" s="2">
        <v>17421</v>
      </c>
      <c r="D402" s="2">
        <v>15868</v>
      </c>
      <c r="E402" s="1">
        <v>899</v>
      </c>
      <c r="F402" s="1">
        <v>4.1100000000000003</v>
      </c>
      <c r="G402" s="1">
        <v>14400</v>
      </c>
      <c r="H402" s="1">
        <v>23.82</v>
      </c>
      <c r="I402" s="1" t="s">
        <v>13</v>
      </c>
      <c r="J402" s="1" t="s">
        <v>20</v>
      </c>
      <c r="K402" s="26">
        <v>6</v>
      </c>
    </row>
    <row r="403" spans="1:11" x14ac:dyDescent="0.25">
      <c r="A403" s="25" t="s">
        <v>15</v>
      </c>
      <c r="B403" s="1" t="s">
        <v>12</v>
      </c>
      <c r="C403" s="2">
        <v>27727</v>
      </c>
      <c r="D403" s="2">
        <v>25370</v>
      </c>
      <c r="E403" s="1">
        <v>202</v>
      </c>
      <c r="F403" s="1">
        <v>4.45</v>
      </c>
      <c r="G403" s="1">
        <v>11940</v>
      </c>
      <c r="H403" s="1">
        <v>17.29</v>
      </c>
      <c r="I403" s="1" t="s">
        <v>26</v>
      </c>
      <c r="J403" s="1" t="s">
        <v>14</v>
      </c>
      <c r="K403" s="26">
        <v>1</v>
      </c>
    </row>
    <row r="404" spans="1:11" x14ac:dyDescent="0.25">
      <c r="A404" s="25" t="s">
        <v>11</v>
      </c>
      <c r="B404" s="1" t="s">
        <v>27</v>
      </c>
      <c r="C404" s="2">
        <v>122418</v>
      </c>
      <c r="D404" s="2">
        <v>43533</v>
      </c>
      <c r="E404" s="1">
        <v>410</v>
      </c>
      <c r="F404" s="1">
        <v>2.2599999999999998</v>
      </c>
      <c r="G404" s="1">
        <v>15178</v>
      </c>
      <c r="H404" s="1">
        <v>10.26</v>
      </c>
      <c r="I404" s="1" t="s">
        <v>23</v>
      </c>
      <c r="J404" s="1" t="s">
        <v>14</v>
      </c>
      <c r="K404" s="26">
        <v>5</v>
      </c>
    </row>
    <row r="405" spans="1:11" x14ac:dyDescent="0.25">
      <c r="A405" s="25" t="s">
        <v>18</v>
      </c>
      <c r="B405" s="1" t="s">
        <v>25</v>
      </c>
      <c r="C405" s="2">
        <v>14358</v>
      </c>
      <c r="D405" s="2">
        <v>31483</v>
      </c>
      <c r="E405" s="1">
        <v>287</v>
      </c>
      <c r="F405" s="1">
        <v>3.15</v>
      </c>
      <c r="G405" s="1">
        <v>14936</v>
      </c>
      <c r="H405" s="1">
        <v>24.3</v>
      </c>
      <c r="I405" s="1" t="s">
        <v>13</v>
      </c>
      <c r="J405" s="1" t="s">
        <v>14</v>
      </c>
      <c r="K405" s="26">
        <v>3</v>
      </c>
    </row>
    <row r="406" spans="1:11" x14ac:dyDescent="0.25">
      <c r="A406" s="25" t="s">
        <v>15</v>
      </c>
      <c r="B406" s="1" t="s">
        <v>27</v>
      </c>
      <c r="C406" s="2">
        <v>75108</v>
      </c>
      <c r="D406" s="2">
        <v>13466</v>
      </c>
      <c r="E406" s="1">
        <v>363</v>
      </c>
      <c r="F406" s="1">
        <v>4.3600000000000003</v>
      </c>
      <c r="G406" s="1">
        <v>12521</v>
      </c>
      <c r="H406" s="1">
        <v>7.15</v>
      </c>
      <c r="I406" s="1" t="s">
        <v>13</v>
      </c>
      <c r="J406" s="1" t="s">
        <v>17</v>
      </c>
      <c r="K406" s="26">
        <v>7</v>
      </c>
    </row>
    <row r="407" spans="1:11" x14ac:dyDescent="0.25">
      <c r="A407" s="25" t="s">
        <v>15</v>
      </c>
      <c r="B407" s="1" t="s">
        <v>27</v>
      </c>
      <c r="C407" s="2">
        <v>104018</v>
      </c>
      <c r="D407" s="2">
        <v>29803</v>
      </c>
      <c r="E407" s="1">
        <v>758</v>
      </c>
      <c r="F407" s="1">
        <v>4.96</v>
      </c>
      <c r="G407" s="1">
        <v>7272</v>
      </c>
      <c r="H407" s="1">
        <v>6.73</v>
      </c>
      <c r="I407" s="1" t="s">
        <v>13</v>
      </c>
      <c r="J407" s="1" t="s">
        <v>20</v>
      </c>
      <c r="K407" s="26">
        <v>3</v>
      </c>
    </row>
    <row r="408" spans="1:11" x14ac:dyDescent="0.25">
      <c r="A408" s="25" t="s">
        <v>24</v>
      </c>
      <c r="B408" s="1" t="s">
        <v>25</v>
      </c>
      <c r="C408" s="2">
        <v>134457</v>
      </c>
      <c r="D408" s="2">
        <v>19230</v>
      </c>
      <c r="E408" s="1">
        <v>946</v>
      </c>
      <c r="F408" s="1">
        <v>4.5599999999999996</v>
      </c>
      <c r="G408" s="1">
        <v>2127</v>
      </c>
      <c r="H408" s="1">
        <v>15.14</v>
      </c>
      <c r="I408" s="1" t="s">
        <v>22</v>
      </c>
      <c r="J408" s="1" t="s">
        <v>17</v>
      </c>
      <c r="K408" s="26">
        <v>5</v>
      </c>
    </row>
    <row r="409" spans="1:11" x14ac:dyDescent="0.25">
      <c r="A409" s="25" t="s">
        <v>15</v>
      </c>
      <c r="B409" s="1" t="s">
        <v>27</v>
      </c>
      <c r="C409" s="2">
        <v>173189</v>
      </c>
      <c r="D409" s="2">
        <v>18862</v>
      </c>
      <c r="E409" s="1">
        <v>742</v>
      </c>
      <c r="F409" s="1">
        <v>2.4900000000000002</v>
      </c>
      <c r="G409" s="1">
        <v>12164</v>
      </c>
      <c r="H409" s="1">
        <v>7.83</v>
      </c>
      <c r="I409" s="1" t="s">
        <v>16</v>
      </c>
      <c r="J409" s="1" t="s">
        <v>20</v>
      </c>
      <c r="K409" s="26">
        <v>7</v>
      </c>
    </row>
    <row r="410" spans="1:11" x14ac:dyDescent="0.25">
      <c r="A410" s="25" t="s">
        <v>15</v>
      </c>
      <c r="B410" s="1" t="s">
        <v>25</v>
      </c>
      <c r="C410" s="2">
        <v>41910</v>
      </c>
      <c r="D410" s="2">
        <v>44355</v>
      </c>
      <c r="E410" s="1">
        <v>589</v>
      </c>
      <c r="F410" s="1">
        <v>1.78</v>
      </c>
      <c r="G410" s="1">
        <v>8719</v>
      </c>
      <c r="H410" s="1">
        <v>0.27</v>
      </c>
      <c r="I410" s="1" t="s">
        <v>13</v>
      </c>
      <c r="J410" s="1" t="s">
        <v>14</v>
      </c>
      <c r="K410" s="26">
        <v>3</v>
      </c>
    </row>
    <row r="411" spans="1:11" x14ac:dyDescent="0.25">
      <c r="A411" s="25" t="s">
        <v>24</v>
      </c>
      <c r="B411" s="1" t="s">
        <v>12</v>
      </c>
      <c r="C411" s="2">
        <v>136888</v>
      </c>
      <c r="D411" s="2">
        <v>32259</v>
      </c>
      <c r="E411" s="1">
        <v>718</v>
      </c>
      <c r="F411" s="1">
        <v>2.96</v>
      </c>
      <c r="G411" s="1">
        <v>18869</v>
      </c>
      <c r="H411" s="1">
        <v>19.45</v>
      </c>
      <c r="I411" s="1" t="s">
        <v>26</v>
      </c>
      <c r="J411" s="1" t="s">
        <v>20</v>
      </c>
      <c r="K411" s="26">
        <v>2</v>
      </c>
    </row>
    <row r="412" spans="1:11" x14ac:dyDescent="0.25">
      <c r="A412" s="25" t="s">
        <v>11</v>
      </c>
      <c r="B412" s="1" t="s">
        <v>25</v>
      </c>
      <c r="C412" s="2">
        <v>65754</v>
      </c>
      <c r="D412" s="2">
        <v>34539</v>
      </c>
      <c r="E412" s="1">
        <v>265</v>
      </c>
      <c r="F412" s="1">
        <v>3.97</v>
      </c>
      <c r="G412" s="1">
        <v>10213</v>
      </c>
      <c r="H412" s="1">
        <v>15.33</v>
      </c>
      <c r="I412" s="1" t="s">
        <v>23</v>
      </c>
      <c r="J412" s="1" t="s">
        <v>20</v>
      </c>
      <c r="K412" s="26">
        <v>6</v>
      </c>
    </row>
    <row r="413" spans="1:11" x14ac:dyDescent="0.25">
      <c r="A413" s="25" t="s">
        <v>15</v>
      </c>
      <c r="B413" s="1" t="s">
        <v>25</v>
      </c>
      <c r="C413" s="2">
        <v>119847</v>
      </c>
      <c r="D413" s="2">
        <v>22909</v>
      </c>
      <c r="E413" s="1">
        <v>660</v>
      </c>
      <c r="F413" s="1">
        <v>2.97</v>
      </c>
      <c r="G413" s="1">
        <v>8988</v>
      </c>
      <c r="H413" s="1">
        <v>13.37</v>
      </c>
      <c r="I413" s="1" t="s">
        <v>26</v>
      </c>
      <c r="J413" s="1" t="s">
        <v>20</v>
      </c>
      <c r="K413" s="26">
        <v>8</v>
      </c>
    </row>
    <row r="414" spans="1:11" x14ac:dyDescent="0.25">
      <c r="A414" s="25" t="s">
        <v>24</v>
      </c>
      <c r="B414" s="1" t="s">
        <v>21</v>
      </c>
      <c r="C414" s="2">
        <v>170443</v>
      </c>
      <c r="D414" s="2">
        <v>31795</v>
      </c>
      <c r="E414" s="1">
        <v>833</v>
      </c>
      <c r="F414" s="1">
        <v>2.93</v>
      </c>
      <c r="G414" s="1">
        <v>2681</v>
      </c>
      <c r="H414" s="1">
        <v>29.01</v>
      </c>
      <c r="I414" s="1" t="s">
        <v>22</v>
      </c>
      <c r="J414" s="1" t="s">
        <v>17</v>
      </c>
      <c r="K414" s="26">
        <v>4</v>
      </c>
    </row>
    <row r="415" spans="1:11" x14ac:dyDescent="0.25">
      <c r="A415" s="25" t="s">
        <v>18</v>
      </c>
      <c r="B415" s="1" t="s">
        <v>25</v>
      </c>
      <c r="C415" s="2">
        <v>192573</v>
      </c>
      <c r="D415" s="2">
        <v>9770</v>
      </c>
      <c r="E415" s="1">
        <v>956</v>
      </c>
      <c r="F415" s="1">
        <v>4.3499999999999996</v>
      </c>
      <c r="G415" s="1">
        <v>12094</v>
      </c>
      <c r="H415" s="1">
        <v>17.14</v>
      </c>
      <c r="I415" s="1" t="s">
        <v>22</v>
      </c>
      <c r="J415" s="1" t="s">
        <v>20</v>
      </c>
      <c r="K415" s="26">
        <v>9</v>
      </c>
    </row>
    <row r="416" spans="1:11" x14ac:dyDescent="0.25">
      <c r="A416" s="25" t="s">
        <v>11</v>
      </c>
      <c r="B416" s="1" t="s">
        <v>25</v>
      </c>
      <c r="C416" s="2">
        <v>48467</v>
      </c>
      <c r="D416" s="2">
        <v>12093</v>
      </c>
      <c r="E416" s="1">
        <v>670</v>
      </c>
      <c r="F416" s="1">
        <v>2.4500000000000002</v>
      </c>
      <c r="G416" s="1">
        <v>19180</v>
      </c>
      <c r="H416" s="1">
        <v>25.9</v>
      </c>
      <c r="I416" s="1" t="s">
        <v>26</v>
      </c>
      <c r="J416" s="1" t="s">
        <v>20</v>
      </c>
      <c r="K416" s="26">
        <v>8</v>
      </c>
    </row>
    <row r="417" spans="1:11" x14ac:dyDescent="0.25">
      <c r="A417" s="25" t="s">
        <v>18</v>
      </c>
      <c r="B417" s="1" t="s">
        <v>12</v>
      </c>
      <c r="C417" s="2">
        <v>158697</v>
      </c>
      <c r="D417" s="2">
        <v>47571</v>
      </c>
      <c r="E417" s="1">
        <v>108</v>
      </c>
      <c r="F417" s="1">
        <v>4.4400000000000004</v>
      </c>
      <c r="G417" s="1">
        <v>7664</v>
      </c>
      <c r="H417" s="1">
        <v>4.18</v>
      </c>
      <c r="I417" s="1" t="s">
        <v>16</v>
      </c>
      <c r="J417" s="1" t="s">
        <v>20</v>
      </c>
      <c r="K417" s="26">
        <v>7</v>
      </c>
    </row>
    <row r="418" spans="1:11" x14ac:dyDescent="0.25">
      <c r="A418" s="25" t="s">
        <v>18</v>
      </c>
      <c r="B418" s="1" t="s">
        <v>21</v>
      </c>
      <c r="C418" s="2">
        <v>43893</v>
      </c>
      <c r="D418" s="2">
        <v>1193</v>
      </c>
      <c r="E418" s="1">
        <v>597</v>
      </c>
      <c r="F418" s="1">
        <v>2.63</v>
      </c>
      <c r="G418" s="1">
        <v>19481</v>
      </c>
      <c r="H418" s="1">
        <v>17.079999999999998</v>
      </c>
      <c r="I418" s="1" t="s">
        <v>22</v>
      </c>
      <c r="J418" s="1" t="s">
        <v>17</v>
      </c>
      <c r="K418" s="26">
        <v>7</v>
      </c>
    </row>
    <row r="419" spans="1:11" x14ac:dyDescent="0.25">
      <c r="A419" s="25" t="s">
        <v>24</v>
      </c>
      <c r="B419" s="1" t="s">
        <v>19</v>
      </c>
      <c r="C419" s="2">
        <v>86329</v>
      </c>
      <c r="D419" s="2">
        <v>35775</v>
      </c>
      <c r="E419" s="1">
        <v>291</v>
      </c>
      <c r="F419" s="1">
        <v>2.31</v>
      </c>
      <c r="G419" s="1">
        <v>1401</v>
      </c>
      <c r="H419" s="1">
        <v>26.04</v>
      </c>
      <c r="I419" s="1" t="s">
        <v>22</v>
      </c>
      <c r="J419" s="1" t="s">
        <v>17</v>
      </c>
      <c r="K419" s="26">
        <v>3</v>
      </c>
    </row>
    <row r="420" spans="1:11" x14ac:dyDescent="0.25">
      <c r="A420" s="25" t="s">
        <v>15</v>
      </c>
      <c r="B420" s="1" t="s">
        <v>12</v>
      </c>
      <c r="C420" s="2">
        <v>41007</v>
      </c>
      <c r="D420" s="2">
        <v>18569</v>
      </c>
      <c r="E420" s="1">
        <v>892</v>
      </c>
      <c r="F420" s="1">
        <v>2.82</v>
      </c>
      <c r="G420" s="1">
        <v>9790</v>
      </c>
      <c r="H420" s="1">
        <v>17.489999999999998</v>
      </c>
      <c r="I420" s="1" t="s">
        <v>26</v>
      </c>
      <c r="J420" s="1" t="s">
        <v>17</v>
      </c>
      <c r="K420" s="26">
        <v>6</v>
      </c>
    </row>
    <row r="421" spans="1:11" x14ac:dyDescent="0.25">
      <c r="A421" s="25" t="s">
        <v>24</v>
      </c>
      <c r="B421" s="1" t="s">
        <v>12</v>
      </c>
      <c r="C421" s="2">
        <v>180604</v>
      </c>
      <c r="D421" s="2">
        <v>12190</v>
      </c>
      <c r="E421" s="1">
        <v>412</v>
      </c>
      <c r="F421" s="1">
        <v>4.05</v>
      </c>
      <c r="G421" s="1">
        <v>18561</v>
      </c>
      <c r="H421" s="1">
        <v>21.54</v>
      </c>
      <c r="I421" s="1" t="s">
        <v>22</v>
      </c>
      <c r="J421" s="1" t="s">
        <v>20</v>
      </c>
      <c r="K421" s="26">
        <v>5</v>
      </c>
    </row>
    <row r="422" spans="1:11" x14ac:dyDescent="0.25">
      <c r="A422" s="25" t="s">
        <v>24</v>
      </c>
      <c r="B422" s="1" t="s">
        <v>19</v>
      </c>
      <c r="C422" s="2">
        <v>64253</v>
      </c>
      <c r="D422" s="2">
        <v>43752</v>
      </c>
      <c r="E422" s="1">
        <v>118</v>
      </c>
      <c r="F422" s="1">
        <v>1.5</v>
      </c>
      <c r="G422" s="1">
        <v>3381</v>
      </c>
      <c r="H422" s="1">
        <v>11.16</v>
      </c>
      <c r="I422" s="1" t="s">
        <v>16</v>
      </c>
      <c r="J422" s="1" t="s">
        <v>14</v>
      </c>
      <c r="K422" s="26">
        <v>1</v>
      </c>
    </row>
    <row r="423" spans="1:11" x14ac:dyDescent="0.25">
      <c r="A423" s="25" t="s">
        <v>24</v>
      </c>
      <c r="B423" s="1" t="s">
        <v>25</v>
      </c>
      <c r="C423" s="2">
        <v>22323</v>
      </c>
      <c r="D423" s="2">
        <v>33327</v>
      </c>
      <c r="E423" s="1">
        <v>709</v>
      </c>
      <c r="F423" s="1">
        <v>1.79</v>
      </c>
      <c r="G423" s="1">
        <v>13558</v>
      </c>
      <c r="H423" s="1">
        <v>2.77</v>
      </c>
      <c r="I423" s="1" t="s">
        <v>16</v>
      </c>
      <c r="J423" s="1" t="s">
        <v>14</v>
      </c>
      <c r="K423" s="26">
        <v>3</v>
      </c>
    </row>
    <row r="424" spans="1:11" x14ac:dyDescent="0.25">
      <c r="A424" s="25" t="s">
        <v>24</v>
      </c>
      <c r="B424" s="1" t="s">
        <v>27</v>
      </c>
      <c r="C424" s="2">
        <v>121335</v>
      </c>
      <c r="D424" s="2">
        <v>43070</v>
      </c>
      <c r="E424" s="1">
        <v>208</v>
      </c>
      <c r="F424" s="1">
        <v>4.8099999999999996</v>
      </c>
      <c r="G424" s="1">
        <v>6122</v>
      </c>
      <c r="H424" s="1">
        <v>13.74</v>
      </c>
      <c r="I424" s="1" t="s">
        <v>16</v>
      </c>
      <c r="J424" s="1" t="s">
        <v>14</v>
      </c>
      <c r="K424" s="26">
        <v>1</v>
      </c>
    </row>
    <row r="425" spans="1:11" x14ac:dyDescent="0.25">
      <c r="A425" s="25" t="s">
        <v>11</v>
      </c>
      <c r="B425" s="1" t="s">
        <v>21</v>
      </c>
      <c r="C425" s="2">
        <v>122356</v>
      </c>
      <c r="D425" s="2">
        <v>21389</v>
      </c>
      <c r="E425" s="1">
        <v>312</v>
      </c>
      <c r="F425" s="1">
        <v>1.7</v>
      </c>
      <c r="G425" s="1">
        <v>1878</v>
      </c>
      <c r="H425" s="1">
        <v>11.83</v>
      </c>
      <c r="I425" s="1" t="s">
        <v>23</v>
      </c>
      <c r="J425" s="1" t="s">
        <v>20</v>
      </c>
      <c r="K425" s="26">
        <v>4</v>
      </c>
    </row>
    <row r="426" spans="1:11" x14ac:dyDescent="0.25">
      <c r="A426" s="25" t="s">
        <v>15</v>
      </c>
      <c r="B426" s="1" t="s">
        <v>27</v>
      </c>
      <c r="C426" s="2">
        <v>120944</v>
      </c>
      <c r="D426" s="2">
        <v>41197</v>
      </c>
      <c r="E426" s="1">
        <v>336</v>
      </c>
      <c r="F426" s="1">
        <v>3.27</v>
      </c>
      <c r="G426" s="1">
        <v>18132</v>
      </c>
      <c r="H426" s="1">
        <v>26.01</v>
      </c>
      <c r="I426" s="1" t="s">
        <v>16</v>
      </c>
      <c r="J426" s="1" t="s">
        <v>14</v>
      </c>
      <c r="K426" s="26">
        <v>3</v>
      </c>
    </row>
    <row r="427" spans="1:11" x14ac:dyDescent="0.25">
      <c r="A427" s="25" t="s">
        <v>18</v>
      </c>
      <c r="B427" s="1" t="s">
        <v>19</v>
      </c>
      <c r="C427" s="2">
        <v>155282</v>
      </c>
      <c r="D427" s="2">
        <v>3261</v>
      </c>
      <c r="E427" s="1">
        <v>163</v>
      </c>
      <c r="F427" s="1">
        <v>3.32</v>
      </c>
      <c r="G427" s="1">
        <v>6150</v>
      </c>
      <c r="H427" s="1">
        <v>7.32</v>
      </c>
      <c r="I427" s="1" t="s">
        <v>16</v>
      </c>
      <c r="J427" s="1" t="s">
        <v>14</v>
      </c>
      <c r="K427" s="26">
        <v>4</v>
      </c>
    </row>
    <row r="428" spans="1:11" x14ac:dyDescent="0.25">
      <c r="A428" s="25" t="s">
        <v>18</v>
      </c>
      <c r="B428" s="1" t="s">
        <v>12</v>
      </c>
      <c r="C428" s="2">
        <v>26456</v>
      </c>
      <c r="D428" s="2">
        <v>29369</v>
      </c>
      <c r="E428" s="1">
        <v>561</v>
      </c>
      <c r="F428" s="1">
        <v>2.96</v>
      </c>
      <c r="G428" s="1">
        <v>12933</v>
      </c>
      <c r="H428" s="1">
        <v>29</v>
      </c>
      <c r="I428" s="1" t="s">
        <v>23</v>
      </c>
      <c r="J428" s="1" t="s">
        <v>14</v>
      </c>
      <c r="K428" s="26">
        <v>9</v>
      </c>
    </row>
    <row r="429" spans="1:11" x14ac:dyDescent="0.25">
      <c r="A429" s="25" t="s">
        <v>15</v>
      </c>
      <c r="B429" s="1" t="s">
        <v>12</v>
      </c>
      <c r="C429" s="2">
        <v>41367</v>
      </c>
      <c r="D429" s="2">
        <v>27512</v>
      </c>
      <c r="E429" s="1">
        <v>654</v>
      </c>
      <c r="F429" s="1">
        <v>3.58</v>
      </c>
      <c r="G429" s="1">
        <v>9956</v>
      </c>
      <c r="H429" s="1">
        <v>28.74</v>
      </c>
      <c r="I429" s="1" t="s">
        <v>13</v>
      </c>
      <c r="J429" s="1" t="s">
        <v>20</v>
      </c>
      <c r="K429" s="26">
        <v>3</v>
      </c>
    </row>
    <row r="430" spans="1:11" x14ac:dyDescent="0.25">
      <c r="A430" s="25" t="s">
        <v>18</v>
      </c>
      <c r="B430" s="1" t="s">
        <v>21</v>
      </c>
      <c r="C430" s="2">
        <v>64624</v>
      </c>
      <c r="D430" s="2">
        <v>7716</v>
      </c>
      <c r="E430" s="1">
        <v>414</v>
      </c>
      <c r="F430" s="1">
        <v>1.92</v>
      </c>
      <c r="G430" s="1">
        <v>7536</v>
      </c>
      <c r="H430" s="1">
        <v>7.43</v>
      </c>
      <c r="I430" s="1" t="s">
        <v>22</v>
      </c>
      <c r="J430" s="1" t="s">
        <v>14</v>
      </c>
      <c r="K430" s="26">
        <v>6</v>
      </c>
    </row>
    <row r="431" spans="1:11" x14ac:dyDescent="0.25">
      <c r="A431" s="25" t="s">
        <v>15</v>
      </c>
      <c r="B431" s="1" t="s">
        <v>12</v>
      </c>
      <c r="C431" s="2">
        <v>151178</v>
      </c>
      <c r="D431" s="2">
        <v>22259</v>
      </c>
      <c r="E431" s="1">
        <v>471</v>
      </c>
      <c r="F431" s="1">
        <v>3.21</v>
      </c>
      <c r="G431" s="1">
        <v>6987</v>
      </c>
      <c r="H431" s="1">
        <v>10.44</v>
      </c>
      <c r="I431" s="1" t="s">
        <v>16</v>
      </c>
      <c r="J431" s="1" t="s">
        <v>14</v>
      </c>
      <c r="K431" s="26">
        <v>6</v>
      </c>
    </row>
    <row r="432" spans="1:11" x14ac:dyDescent="0.25">
      <c r="A432" s="25" t="s">
        <v>18</v>
      </c>
      <c r="B432" s="1" t="s">
        <v>12</v>
      </c>
      <c r="C432" s="2">
        <v>78008</v>
      </c>
      <c r="D432" s="2">
        <v>29933</v>
      </c>
      <c r="E432" s="1">
        <v>141</v>
      </c>
      <c r="F432" s="1">
        <v>2.4900000000000002</v>
      </c>
      <c r="G432" s="1">
        <v>17942</v>
      </c>
      <c r="H432" s="1">
        <v>26.87</v>
      </c>
      <c r="I432" s="1" t="s">
        <v>22</v>
      </c>
      <c r="J432" s="1" t="s">
        <v>20</v>
      </c>
      <c r="K432" s="26">
        <v>7</v>
      </c>
    </row>
    <row r="433" spans="1:11" x14ac:dyDescent="0.25">
      <c r="A433" s="25" t="s">
        <v>24</v>
      </c>
      <c r="B433" s="1" t="s">
        <v>21</v>
      </c>
      <c r="C433" s="2">
        <v>135926</v>
      </c>
      <c r="D433" s="2">
        <v>42689</v>
      </c>
      <c r="E433" s="1">
        <v>800</v>
      </c>
      <c r="F433" s="1">
        <v>3.65</v>
      </c>
      <c r="G433" s="1">
        <v>18932</v>
      </c>
      <c r="H433" s="1">
        <v>29</v>
      </c>
      <c r="I433" s="1" t="s">
        <v>26</v>
      </c>
      <c r="J433" s="1" t="s">
        <v>17</v>
      </c>
      <c r="K433" s="26">
        <v>9</v>
      </c>
    </row>
    <row r="434" spans="1:11" x14ac:dyDescent="0.25">
      <c r="A434" s="25" t="s">
        <v>18</v>
      </c>
      <c r="B434" s="1" t="s">
        <v>21</v>
      </c>
      <c r="C434" s="2">
        <v>125395</v>
      </c>
      <c r="D434" s="2">
        <v>5378</v>
      </c>
      <c r="E434" s="1">
        <v>883</v>
      </c>
      <c r="F434" s="1">
        <v>1.56</v>
      </c>
      <c r="G434" s="1">
        <v>4748</v>
      </c>
      <c r="H434" s="1">
        <v>13.3</v>
      </c>
      <c r="I434" s="1" t="s">
        <v>22</v>
      </c>
      <c r="J434" s="1" t="s">
        <v>14</v>
      </c>
      <c r="K434" s="26">
        <v>7</v>
      </c>
    </row>
    <row r="435" spans="1:11" x14ac:dyDescent="0.25">
      <c r="A435" s="25" t="s">
        <v>15</v>
      </c>
      <c r="B435" s="1" t="s">
        <v>19</v>
      </c>
      <c r="C435" s="2">
        <v>126492</v>
      </c>
      <c r="D435" s="2">
        <v>41583</v>
      </c>
      <c r="E435" s="1">
        <v>93</v>
      </c>
      <c r="F435" s="1">
        <v>3.28</v>
      </c>
      <c r="G435" s="1">
        <v>19360</v>
      </c>
      <c r="H435" s="1">
        <v>9.6300000000000008</v>
      </c>
      <c r="I435" s="1" t="s">
        <v>23</v>
      </c>
      <c r="J435" s="1" t="s">
        <v>17</v>
      </c>
      <c r="K435" s="26">
        <v>1</v>
      </c>
    </row>
    <row r="436" spans="1:11" x14ac:dyDescent="0.25">
      <c r="A436" s="25" t="s">
        <v>15</v>
      </c>
      <c r="B436" s="1" t="s">
        <v>12</v>
      </c>
      <c r="C436" s="2">
        <v>82240</v>
      </c>
      <c r="D436" s="2">
        <v>47546</v>
      </c>
      <c r="E436" s="1">
        <v>408</v>
      </c>
      <c r="F436" s="1">
        <v>1.74</v>
      </c>
      <c r="G436" s="1">
        <v>5103</v>
      </c>
      <c r="H436" s="1">
        <v>15.78</v>
      </c>
      <c r="I436" s="1" t="s">
        <v>22</v>
      </c>
      <c r="J436" s="1" t="s">
        <v>14</v>
      </c>
      <c r="K436" s="26">
        <v>8</v>
      </c>
    </row>
    <row r="437" spans="1:11" x14ac:dyDescent="0.25">
      <c r="A437" s="25" t="s">
        <v>15</v>
      </c>
      <c r="B437" s="1" t="s">
        <v>12</v>
      </c>
      <c r="C437" s="2">
        <v>74315</v>
      </c>
      <c r="D437" s="2">
        <v>20835</v>
      </c>
      <c r="E437" s="1">
        <v>763</v>
      </c>
      <c r="F437" s="1">
        <v>2.11</v>
      </c>
      <c r="G437" s="1">
        <v>13132</v>
      </c>
      <c r="H437" s="1">
        <v>20.63</v>
      </c>
      <c r="I437" s="1" t="s">
        <v>22</v>
      </c>
      <c r="J437" s="1" t="s">
        <v>20</v>
      </c>
      <c r="K437" s="26">
        <v>5</v>
      </c>
    </row>
    <row r="438" spans="1:11" x14ac:dyDescent="0.25">
      <c r="A438" s="25" t="s">
        <v>15</v>
      </c>
      <c r="B438" s="1" t="s">
        <v>19</v>
      </c>
      <c r="C438" s="2">
        <v>20756</v>
      </c>
      <c r="D438" s="2">
        <v>30033</v>
      </c>
      <c r="E438" s="1">
        <v>637</v>
      </c>
      <c r="F438" s="1">
        <v>1.87</v>
      </c>
      <c r="G438" s="1">
        <v>720</v>
      </c>
      <c r="H438" s="1">
        <v>8.1999999999999993</v>
      </c>
      <c r="I438" s="1" t="s">
        <v>22</v>
      </c>
      <c r="J438" s="1" t="s">
        <v>17</v>
      </c>
      <c r="K438" s="26">
        <v>9</v>
      </c>
    </row>
    <row r="439" spans="1:11" x14ac:dyDescent="0.25">
      <c r="A439" s="25" t="s">
        <v>15</v>
      </c>
      <c r="B439" s="1" t="s">
        <v>25</v>
      </c>
      <c r="C439" s="2">
        <v>46378</v>
      </c>
      <c r="D439" s="2">
        <v>25000</v>
      </c>
      <c r="E439" s="1">
        <v>118</v>
      </c>
      <c r="F439" s="1">
        <v>1.73</v>
      </c>
      <c r="G439" s="1">
        <v>14726</v>
      </c>
      <c r="H439" s="1">
        <v>22.09</v>
      </c>
      <c r="I439" s="1" t="s">
        <v>13</v>
      </c>
      <c r="J439" s="1" t="s">
        <v>17</v>
      </c>
      <c r="K439" s="26">
        <v>5</v>
      </c>
    </row>
    <row r="440" spans="1:11" x14ac:dyDescent="0.25">
      <c r="A440" s="25" t="s">
        <v>11</v>
      </c>
      <c r="B440" s="1" t="s">
        <v>25</v>
      </c>
      <c r="C440" s="2">
        <v>145327</v>
      </c>
      <c r="D440" s="2">
        <v>46496</v>
      </c>
      <c r="E440" s="1">
        <v>230</v>
      </c>
      <c r="F440" s="1">
        <v>4.3</v>
      </c>
      <c r="G440" s="1">
        <v>5318</v>
      </c>
      <c r="H440" s="1">
        <v>1.55</v>
      </c>
      <c r="I440" s="1" t="s">
        <v>13</v>
      </c>
      <c r="J440" s="1" t="s">
        <v>17</v>
      </c>
      <c r="K440" s="26">
        <v>5</v>
      </c>
    </row>
    <row r="441" spans="1:11" x14ac:dyDescent="0.25">
      <c r="A441" s="25" t="s">
        <v>11</v>
      </c>
      <c r="B441" s="1" t="s">
        <v>25</v>
      </c>
      <c r="C441" s="2">
        <v>155556</v>
      </c>
      <c r="D441" s="2">
        <v>11332</v>
      </c>
      <c r="E441" s="1">
        <v>913</v>
      </c>
      <c r="F441" s="1">
        <v>2.14</v>
      </c>
      <c r="G441" s="1">
        <v>7849</v>
      </c>
      <c r="H441" s="1">
        <v>1.48</v>
      </c>
      <c r="I441" s="1" t="s">
        <v>26</v>
      </c>
      <c r="J441" s="1" t="s">
        <v>17</v>
      </c>
      <c r="K441" s="26">
        <v>2</v>
      </c>
    </row>
    <row r="442" spans="1:11" x14ac:dyDescent="0.25">
      <c r="A442" s="25" t="s">
        <v>18</v>
      </c>
      <c r="B442" s="1" t="s">
        <v>19</v>
      </c>
      <c r="C442" s="2">
        <v>135703</v>
      </c>
      <c r="D442" s="2">
        <v>43604</v>
      </c>
      <c r="E442" s="1">
        <v>562</v>
      </c>
      <c r="F442" s="1">
        <v>4.71</v>
      </c>
      <c r="G442" s="1">
        <v>6118</v>
      </c>
      <c r="H442" s="1">
        <v>11.59</v>
      </c>
      <c r="I442" s="1" t="s">
        <v>23</v>
      </c>
      <c r="J442" s="1" t="s">
        <v>14</v>
      </c>
      <c r="K442" s="26">
        <v>3</v>
      </c>
    </row>
    <row r="443" spans="1:11" x14ac:dyDescent="0.25">
      <c r="A443" s="25" t="s">
        <v>15</v>
      </c>
      <c r="B443" s="1" t="s">
        <v>12</v>
      </c>
      <c r="C443" s="2">
        <v>66549</v>
      </c>
      <c r="D443" s="2">
        <v>3800</v>
      </c>
      <c r="E443" s="1">
        <v>377</v>
      </c>
      <c r="F443" s="1">
        <v>4.88</v>
      </c>
      <c r="G443" s="1">
        <v>10356</v>
      </c>
      <c r="H443" s="1">
        <v>10.6</v>
      </c>
      <c r="I443" s="1" t="s">
        <v>22</v>
      </c>
      <c r="J443" s="1" t="s">
        <v>14</v>
      </c>
      <c r="K443" s="26">
        <v>9</v>
      </c>
    </row>
    <row r="444" spans="1:11" x14ac:dyDescent="0.25">
      <c r="A444" s="25" t="s">
        <v>18</v>
      </c>
      <c r="B444" s="1" t="s">
        <v>19</v>
      </c>
      <c r="C444" s="2">
        <v>175575</v>
      </c>
      <c r="D444" s="2">
        <v>30538</v>
      </c>
      <c r="E444" s="1">
        <v>156</v>
      </c>
      <c r="F444" s="1">
        <v>3.29</v>
      </c>
      <c r="G444" s="1">
        <v>5076</v>
      </c>
      <c r="H444" s="1">
        <v>9.4700000000000006</v>
      </c>
      <c r="I444" s="1" t="s">
        <v>22</v>
      </c>
      <c r="J444" s="1" t="s">
        <v>17</v>
      </c>
      <c r="K444" s="26">
        <v>7</v>
      </c>
    </row>
    <row r="445" spans="1:11" x14ac:dyDescent="0.25">
      <c r="A445" s="25" t="s">
        <v>15</v>
      </c>
      <c r="B445" s="1" t="s">
        <v>19</v>
      </c>
      <c r="C445" s="2">
        <v>83794</v>
      </c>
      <c r="D445" s="2">
        <v>31119</v>
      </c>
      <c r="E445" s="1">
        <v>121</v>
      </c>
      <c r="F445" s="1">
        <v>1.57</v>
      </c>
      <c r="G445" s="1">
        <v>18755</v>
      </c>
      <c r="H445" s="1">
        <v>14.73</v>
      </c>
      <c r="I445" s="1" t="s">
        <v>22</v>
      </c>
      <c r="J445" s="1" t="s">
        <v>14</v>
      </c>
      <c r="K445" s="26">
        <v>1</v>
      </c>
    </row>
    <row r="446" spans="1:11" x14ac:dyDescent="0.25">
      <c r="A446" s="25" t="s">
        <v>15</v>
      </c>
      <c r="B446" s="1" t="s">
        <v>25</v>
      </c>
      <c r="C446" s="2">
        <v>55113</v>
      </c>
      <c r="D446" s="2">
        <v>9333</v>
      </c>
      <c r="E446" s="1">
        <v>624</v>
      </c>
      <c r="F446" s="1">
        <v>2.5</v>
      </c>
      <c r="G446" s="1">
        <v>15707</v>
      </c>
      <c r="H446" s="1">
        <v>9.6199999999999992</v>
      </c>
      <c r="I446" s="1" t="s">
        <v>22</v>
      </c>
      <c r="J446" s="1" t="s">
        <v>17</v>
      </c>
      <c r="K446" s="26">
        <v>3</v>
      </c>
    </row>
    <row r="447" spans="1:11" x14ac:dyDescent="0.25">
      <c r="A447" s="25" t="s">
        <v>11</v>
      </c>
      <c r="B447" s="1" t="s">
        <v>27</v>
      </c>
      <c r="C447" s="2">
        <v>84069</v>
      </c>
      <c r="D447" s="2">
        <v>6410</v>
      </c>
      <c r="E447" s="1">
        <v>567</v>
      </c>
      <c r="F447" s="1">
        <v>4.1900000000000004</v>
      </c>
      <c r="G447" s="1">
        <v>1962</v>
      </c>
      <c r="H447" s="1">
        <v>5.77</v>
      </c>
      <c r="I447" s="1" t="s">
        <v>13</v>
      </c>
      <c r="J447" s="1" t="s">
        <v>17</v>
      </c>
      <c r="K447" s="26">
        <v>2</v>
      </c>
    </row>
    <row r="448" spans="1:11" x14ac:dyDescent="0.25">
      <c r="A448" s="25" t="s">
        <v>11</v>
      </c>
      <c r="B448" s="1" t="s">
        <v>12</v>
      </c>
      <c r="C448" s="2">
        <v>146321</v>
      </c>
      <c r="D448" s="2">
        <v>18839</v>
      </c>
      <c r="E448" s="1">
        <v>933</v>
      </c>
      <c r="F448" s="1">
        <v>2.4700000000000002</v>
      </c>
      <c r="G448" s="1">
        <v>16405</v>
      </c>
      <c r="H448" s="1">
        <v>9.2799999999999994</v>
      </c>
      <c r="I448" s="1" t="s">
        <v>26</v>
      </c>
      <c r="J448" s="1" t="s">
        <v>20</v>
      </c>
      <c r="K448" s="26">
        <v>1</v>
      </c>
    </row>
    <row r="449" spans="1:11" x14ac:dyDescent="0.25">
      <c r="A449" s="25" t="s">
        <v>24</v>
      </c>
      <c r="B449" s="1" t="s">
        <v>25</v>
      </c>
      <c r="C449" s="2">
        <v>160273</v>
      </c>
      <c r="D449" s="2">
        <v>31519</v>
      </c>
      <c r="E449" s="1">
        <v>503</v>
      </c>
      <c r="F449" s="1">
        <v>1.35</v>
      </c>
      <c r="G449" s="1">
        <v>16752</v>
      </c>
      <c r="H449" s="1">
        <v>29.25</v>
      </c>
      <c r="I449" s="1" t="s">
        <v>16</v>
      </c>
      <c r="J449" s="1" t="s">
        <v>17</v>
      </c>
      <c r="K449" s="26">
        <v>9</v>
      </c>
    </row>
    <row r="450" spans="1:11" x14ac:dyDescent="0.25">
      <c r="A450" s="25" t="s">
        <v>11</v>
      </c>
      <c r="B450" s="1" t="s">
        <v>27</v>
      </c>
      <c r="C450" s="2">
        <v>135541</v>
      </c>
      <c r="D450" s="2">
        <v>6808</v>
      </c>
      <c r="E450" s="1">
        <v>514</v>
      </c>
      <c r="F450" s="1">
        <v>3.23</v>
      </c>
      <c r="G450" s="1">
        <v>8736</v>
      </c>
      <c r="H450" s="1">
        <v>12.33</v>
      </c>
      <c r="I450" s="1" t="s">
        <v>23</v>
      </c>
      <c r="J450" s="1" t="s">
        <v>14</v>
      </c>
      <c r="K450" s="26">
        <v>8</v>
      </c>
    </row>
    <row r="451" spans="1:11" x14ac:dyDescent="0.25">
      <c r="A451" s="25" t="s">
        <v>24</v>
      </c>
      <c r="B451" s="1" t="s">
        <v>27</v>
      </c>
      <c r="C451" s="2">
        <v>199648</v>
      </c>
      <c r="D451" s="2">
        <v>7796</v>
      </c>
      <c r="E451" s="1">
        <v>484</v>
      </c>
      <c r="F451" s="1">
        <v>4.38</v>
      </c>
      <c r="G451" s="1">
        <v>8313</v>
      </c>
      <c r="H451" s="1">
        <v>13.34</v>
      </c>
      <c r="I451" s="1" t="s">
        <v>22</v>
      </c>
      <c r="J451" s="1" t="s">
        <v>17</v>
      </c>
      <c r="K451" s="26">
        <v>5</v>
      </c>
    </row>
    <row r="452" spans="1:11" x14ac:dyDescent="0.25">
      <c r="A452" s="25" t="s">
        <v>24</v>
      </c>
      <c r="B452" s="1" t="s">
        <v>21</v>
      </c>
      <c r="C452" s="2">
        <v>19686</v>
      </c>
      <c r="D452" s="2">
        <v>22180</v>
      </c>
      <c r="E452" s="1">
        <v>845</v>
      </c>
      <c r="F452" s="1">
        <v>4.18</v>
      </c>
      <c r="G452" s="1">
        <v>2568</v>
      </c>
      <c r="H452" s="1">
        <v>17.3</v>
      </c>
      <c r="I452" s="1" t="s">
        <v>26</v>
      </c>
      <c r="J452" s="1" t="s">
        <v>20</v>
      </c>
      <c r="K452" s="26">
        <v>2</v>
      </c>
    </row>
    <row r="453" spans="1:11" x14ac:dyDescent="0.25">
      <c r="A453" s="25" t="s">
        <v>24</v>
      </c>
      <c r="B453" s="1" t="s">
        <v>12</v>
      </c>
      <c r="C453" s="2">
        <v>63363</v>
      </c>
      <c r="D453" s="2">
        <v>44056</v>
      </c>
      <c r="E453" s="1">
        <v>899</v>
      </c>
      <c r="F453" s="1">
        <v>1.7</v>
      </c>
      <c r="G453" s="1">
        <v>6253</v>
      </c>
      <c r="H453" s="1">
        <v>29.5</v>
      </c>
      <c r="I453" s="1" t="s">
        <v>16</v>
      </c>
      <c r="J453" s="1" t="s">
        <v>14</v>
      </c>
      <c r="K453" s="26">
        <v>1</v>
      </c>
    </row>
    <row r="454" spans="1:11" x14ac:dyDescent="0.25">
      <c r="A454" s="25" t="s">
        <v>24</v>
      </c>
      <c r="B454" s="1" t="s">
        <v>27</v>
      </c>
      <c r="C454" s="2">
        <v>107543</v>
      </c>
      <c r="D454" s="2">
        <v>18709</v>
      </c>
      <c r="E454" s="1">
        <v>280</v>
      </c>
      <c r="F454" s="1">
        <v>3.69</v>
      </c>
      <c r="G454" s="1">
        <v>7737</v>
      </c>
      <c r="H454" s="1">
        <v>7.25</v>
      </c>
      <c r="I454" s="1" t="s">
        <v>26</v>
      </c>
      <c r="J454" s="1" t="s">
        <v>20</v>
      </c>
      <c r="K454" s="26">
        <v>7</v>
      </c>
    </row>
    <row r="455" spans="1:11" x14ac:dyDescent="0.25">
      <c r="A455" s="25" t="s">
        <v>24</v>
      </c>
      <c r="B455" s="1" t="s">
        <v>25</v>
      </c>
      <c r="C455" s="2">
        <v>141733</v>
      </c>
      <c r="D455" s="2">
        <v>18543</v>
      </c>
      <c r="E455" s="1">
        <v>430</v>
      </c>
      <c r="F455" s="1">
        <v>1.88</v>
      </c>
      <c r="G455" s="1">
        <v>14675</v>
      </c>
      <c r="H455" s="1">
        <v>20.440000000000001</v>
      </c>
      <c r="I455" s="1" t="s">
        <v>13</v>
      </c>
      <c r="J455" s="1" t="s">
        <v>20</v>
      </c>
      <c r="K455" s="26">
        <v>2</v>
      </c>
    </row>
    <row r="456" spans="1:11" x14ac:dyDescent="0.25">
      <c r="A456" s="25" t="s">
        <v>18</v>
      </c>
      <c r="B456" s="1" t="s">
        <v>21</v>
      </c>
      <c r="C456" s="2">
        <v>185915</v>
      </c>
      <c r="D456" s="2">
        <v>38418</v>
      </c>
      <c r="E456" s="1">
        <v>906</v>
      </c>
      <c r="F456" s="1">
        <v>1.87</v>
      </c>
      <c r="G456" s="1">
        <v>6691</v>
      </c>
      <c r="H456" s="1">
        <v>21.48</v>
      </c>
      <c r="I456" s="1" t="s">
        <v>16</v>
      </c>
      <c r="J456" s="1" t="s">
        <v>17</v>
      </c>
      <c r="K456" s="26">
        <v>1</v>
      </c>
    </row>
    <row r="457" spans="1:11" x14ac:dyDescent="0.25">
      <c r="A457" s="25" t="s">
        <v>11</v>
      </c>
      <c r="B457" s="1" t="s">
        <v>12</v>
      </c>
      <c r="C457" s="2">
        <v>105673</v>
      </c>
      <c r="D457" s="2">
        <v>30075</v>
      </c>
      <c r="E457" s="1">
        <v>716</v>
      </c>
      <c r="F457" s="1">
        <v>4.5</v>
      </c>
      <c r="G457" s="1">
        <v>18398</v>
      </c>
      <c r="H457" s="1">
        <v>18.22</v>
      </c>
      <c r="I457" s="1" t="s">
        <v>26</v>
      </c>
      <c r="J457" s="1" t="s">
        <v>20</v>
      </c>
      <c r="K457" s="26">
        <v>2</v>
      </c>
    </row>
    <row r="458" spans="1:11" x14ac:dyDescent="0.25">
      <c r="A458" s="25" t="s">
        <v>24</v>
      </c>
      <c r="B458" s="1" t="s">
        <v>19</v>
      </c>
      <c r="C458" s="2">
        <v>52828</v>
      </c>
      <c r="D458" s="2">
        <v>38755</v>
      </c>
      <c r="E458" s="1">
        <v>376</v>
      </c>
      <c r="F458" s="1">
        <v>2</v>
      </c>
      <c r="G458" s="1">
        <v>19482</v>
      </c>
      <c r="H458" s="1">
        <v>2.66</v>
      </c>
      <c r="I458" s="1" t="s">
        <v>13</v>
      </c>
      <c r="J458" s="1" t="s">
        <v>20</v>
      </c>
      <c r="K458" s="26">
        <v>7</v>
      </c>
    </row>
    <row r="459" spans="1:11" x14ac:dyDescent="0.25">
      <c r="A459" s="25" t="s">
        <v>15</v>
      </c>
      <c r="B459" s="1" t="s">
        <v>25</v>
      </c>
      <c r="C459" s="2">
        <v>58604</v>
      </c>
      <c r="D459" s="2">
        <v>48968</v>
      </c>
      <c r="E459" s="1">
        <v>289</v>
      </c>
      <c r="F459" s="1">
        <v>2.0499999999999998</v>
      </c>
      <c r="G459" s="1">
        <v>15122</v>
      </c>
      <c r="H459" s="1">
        <v>20.309999999999999</v>
      </c>
      <c r="I459" s="1" t="s">
        <v>26</v>
      </c>
      <c r="J459" s="1" t="s">
        <v>14</v>
      </c>
      <c r="K459" s="26">
        <v>7</v>
      </c>
    </row>
    <row r="460" spans="1:11" x14ac:dyDescent="0.25">
      <c r="A460" s="25" t="s">
        <v>11</v>
      </c>
      <c r="B460" s="1" t="s">
        <v>27</v>
      </c>
      <c r="C460" s="2">
        <v>20526</v>
      </c>
      <c r="D460" s="2">
        <v>38465</v>
      </c>
      <c r="E460" s="1">
        <v>292</v>
      </c>
      <c r="F460" s="1">
        <v>1</v>
      </c>
      <c r="G460" s="1">
        <v>1501</v>
      </c>
      <c r="H460" s="1">
        <v>1.92</v>
      </c>
      <c r="I460" s="1" t="s">
        <v>26</v>
      </c>
      <c r="J460" s="1" t="s">
        <v>20</v>
      </c>
      <c r="K460" s="26">
        <v>6</v>
      </c>
    </row>
    <row r="461" spans="1:11" x14ac:dyDescent="0.25">
      <c r="A461" s="25" t="s">
        <v>11</v>
      </c>
      <c r="B461" s="1" t="s">
        <v>27</v>
      </c>
      <c r="C461" s="2">
        <v>78910</v>
      </c>
      <c r="D461" s="2">
        <v>31502</v>
      </c>
      <c r="E461" s="1">
        <v>49</v>
      </c>
      <c r="F461" s="1">
        <v>4.4800000000000004</v>
      </c>
      <c r="G461" s="1">
        <v>17917</v>
      </c>
      <c r="H461" s="1">
        <v>17.88</v>
      </c>
      <c r="I461" s="1" t="s">
        <v>16</v>
      </c>
      <c r="J461" s="1" t="s">
        <v>17</v>
      </c>
      <c r="K461" s="26">
        <v>5</v>
      </c>
    </row>
    <row r="462" spans="1:11" x14ac:dyDescent="0.25">
      <c r="A462" s="25" t="s">
        <v>24</v>
      </c>
      <c r="B462" s="1" t="s">
        <v>25</v>
      </c>
      <c r="C462" s="2">
        <v>35592</v>
      </c>
      <c r="D462" s="2">
        <v>17724</v>
      </c>
      <c r="E462" s="1">
        <v>968</v>
      </c>
      <c r="F462" s="1">
        <v>4.17</v>
      </c>
      <c r="G462" s="1">
        <v>15377</v>
      </c>
      <c r="H462" s="1">
        <v>22.19</v>
      </c>
      <c r="I462" s="1" t="s">
        <v>13</v>
      </c>
      <c r="J462" s="1" t="s">
        <v>17</v>
      </c>
      <c r="K462" s="26">
        <v>3</v>
      </c>
    </row>
    <row r="463" spans="1:11" x14ac:dyDescent="0.25">
      <c r="A463" s="25" t="s">
        <v>18</v>
      </c>
      <c r="B463" s="1" t="s">
        <v>27</v>
      </c>
      <c r="C463" s="2">
        <v>38982</v>
      </c>
      <c r="D463" s="2">
        <v>4828</v>
      </c>
      <c r="E463" s="1">
        <v>198</v>
      </c>
      <c r="F463" s="1">
        <v>3.51</v>
      </c>
      <c r="G463" s="1">
        <v>10732</v>
      </c>
      <c r="H463" s="1">
        <v>6.33</v>
      </c>
      <c r="I463" s="1" t="s">
        <v>22</v>
      </c>
      <c r="J463" s="1" t="s">
        <v>17</v>
      </c>
      <c r="K463" s="26">
        <v>3</v>
      </c>
    </row>
    <row r="464" spans="1:11" x14ac:dyDescent="0.25">
      <c r="A464" s="25" t="s">
        <v>24</v>
      </c>
      <c r="B464" s="1" t="s">
        <v>21</v>
      </c>
      <c r="C464" s="2">
        <v>10207</v>
      </c>
      <c r="D464" s="2">
        <v>18087</v>
      </c>
      <c r="E464" s="1">
        <v>173</v>
      </c>
      <c r="F464" s="1">
        <v>4</v>
      </c>
      <c r="G464" s="1">
        <v>4976</v>
      </c>
      <c r="H464" s="1">
        <v>25.25</v>
      </c>
      <c r="I464" s="1" t="s">
        <v>23</v>
      </c>
      <c r="J464" s="1" t="s">
        <v>20</v>
      </c>
      <c r="K464" s="26">
        <v>9</v>
      </c>
    </row>
    <row r="465" spans="1:11" x14ac:dyDescent="0.25">
      <c r="A465" s="25" t="s">
        <v>18</v>
      </c>
      <c r="B465" s="1" t="s">
        <v>12</v>
      </c>
      <c r="C465" s="2">
        <v>98733</v>
      </c>
      <c r="D465" s="2">
        <v>13605</v>
      </c>
      <c r="E465" s="1">
        <v>998</v>
      </c>
      <c r="F465" s="1">
        <v>1.61</v>
      </c>
      <c r="G465" s="1">
        <v>17362</v>
      </c>
      <c r="H465" s="1">
        <v>0.91</v>
      </c>
      <c r="I465" s="1" t="s">
        <v>16</v>
      </c>
      <c r="J465" s="1" t="s">
        <v>14</v>
      </c>
      <c r="K465" s="26">
        <v>4</v>
      </c>
    </row>
    <row r="466" spans="1:11" x14ac:dyDescent="0.25">
      <c r="A466" s="25" t="s">
        <v>15</v>
      </c>
      <c r="B466" s="1" t="s">
        <v>21</v>
      </c>
      <c r="C466" s="2">
        <v>134982</v>
      </c>
      <c r="D466" s="2">
        <v>32337</v>
      </c>
      <c r="E466" s="1">
        <v>545</v>
      </c>
      <c r="F466" s="1">
        <v>2.83</v>
      </c>
      <c r="G466" s="1">
        <v>1015</v>
      </c>
      <c r="H466" s="1">
        <v>25.31</v>
      </c>
      <c r="I466" s="1" t="s">
        <v>13</v>
      </c>
      <c r="J466" s="1" t="s">
        <v>17</v>
      </c>
      <c r="K466" s="26">
        <v>9</v>
      </c>
    </row>
    <row r="467" spans="1:11" x14ac:dyDescent="0.25">
      <c r="A467" s="25" t="s">
        <v>11</v>
      </c>
      <c r="B467" s="1" t="s">
        <v>27</v>
      </c>
      <c r="C467" s="2">
        <v>78619</v>
      </c>
      <c r="D467" s="2">
        <v>6482</v>
      </c>
      <c r="E467" s="1">
        <v>545</v>
      </c>
      <c r="F467" s="1">
        <v>2.4</v>
      </c>
      <c r="G467" s="1">
        <v>12978</v>
      </c>
      <c r="H467" s="1">
        <v>13.81</v>
      </c>
      <c r="I467" s="1" t="s">
        <v>26</v>
      </c>
      <c r="J467" s="1" t="s">
        <v>20</v>
      </c>
      <c r="K467" s="26">
        <v>4</v>
      </c>
    </row>
    <row r="468" spans="1:11" x14ac:dyDescent="0.25">
      <c r="A468" s="25" t="s">
        <v>15</v>
      </c>
      <c r="B468" s="1" t="s">
        <v>19</v>
      </c>
      <c r="C468" s="2">
        <v>170400</v>
      </c>
      <c r="D468" s="2">
        <v>28005</v>
      </c>
      <c r="E468" s="1">
        <v>13</v>
      </c>
      <c r="F468" s="1">
        <v>1.38</v>
      </c>
      <c r="G468" s="1">
        <v>1691</v>
      </c>
      <c r="H468" s="1">
        <v>6.53</v>
      </c>
      <c r="I468" s="1" t="s">
        <v>13</v>
      </c>
      <c r="J468" s="1" t="s">
        <v>17</v>
      </c>
      <c r="K468" s="26">
        <v>2</v>
      </c>
    </row>
    <row r="469" spans="1:11" x14ac:dyDescent="0.25">
      <c r="A469" s="25" t="s">
        <v>18</v>
      </c>
      <c r="B469" s="1" t="s">
        <v>12</v>
      </c>
      <c r="C469" s="2">
        <v>56479</v>
      </c>
      <c r="D469" s="2">
        <v>23760</v>
      </c>
      <c r="E469" s="1">
        <v>844</v>
      </c>
      <c r="F469" s="1">
        <v>2.94</v>
      </c>
      <c r="G469" s="1">
        <v>11360</v>
      </c>
      <c r="H469" s="1">
        <v>4.01</v>
      </c>
      <c r="I469" s="1" t="s">
        <v>23</v>
      </c>
      <c r="J469" s="1" t="s">
        <v>17</v>
      </c>
      <c r="K469" s="26">
        <v>4</v>
      </c>
    </row>
    <row r="470" spans="1:11" x14ac:dyDescent="0.25">
      <c r="A470" s="25" t="s">
        <v>18</v>
      </c>
      <c r="B470" s="1" t="s">
        <v>12</v>
      </c>
      <c r="C470" s="2">
        <v>161175</v>
      </c>
      <c r="D470" s="2">
        <v>6463</v>
      </c>
      <c r="E470" s="1">
        <v>299</v>
      </c>
      <c r="F470" s="1">
        <v>4.68</v>
      </c>
      <c r="G470" s="1">
        <v>13948</v>
      </c>
      <c r="H470" s="1">
        <v>28.6</v>
      </c>
      <c r="I470" s="1" t="s">
        <v>23</v>
      </c>
      <c r="J470" s="1" t="s">
        <v>14</v>
      </c>
      <c r="K470" s="26">
        <v>6</v>
      </c>
    </row>
    <row r="471" spans="1:11" x14ac:dyDescent="0.25">
      <c r="A471" s="25" t="s">
        <v>15</v>
      </c>
      <c r="B471" s="1" t="s">
        <v>25</v>
      </c>
      <c r="C471" s="2">
        <v>180963</v>
      </c>
      <c r="D471" s="2">
        <v>47628</v>
      </c>
      <c r="E471" s="1">
        <v>962</v>
      </c>
      <c r="F471" s="1">
        <v>1.1599999999999999</v>
      </c>
      <c r="G471" s="1">
        <v>6797</v>
      </c>
      <c r="H471" s="1">
        <v>2.1800000000000002</v>
      </c>
      <c r="I471" s="1" t="s">
        <v>22</v>
      </c>
      <c r="J471" s="1" t="s">
        <v>17</v>
      </c>
      <c r="K471" s="26">
        <v>6</v>
      </c>
    </row>
    <row r="472" spans="1:11" x14ac:dyDescent="0.25">
      <c r="A472" s="25" t="s">
        <v>18</v>
      </c>
      <c r="B472" s="1" t="s">
        <v>25</v>
      </c>
      <c r="C472" s="2">
        <v>151826</v>
      </c>
      <c r="D472" s="2">
        <v>5912</v>
      </c>
      <c r="E472" s="1">
        <v>442</v>
      </c>
      <c r="F472" s="1">
        <v>2.17</v>
      </c>
      <c r="G472" s="1">
        <v>17155</v>
      </c>
      <c r="H472" s="1">
        <v>5.97</v>
      </c>
      <c r="I472" s="1" t="s">
        <v>22</v>
      </c>
      <c r="J472" s="1" t="s">
        <v>14</v>
      </c>
      <c r="K472" s="26">
        <v>5</v>
      </c>
    </row>
    <row r="473" spans="1:11" x14ac:dyDescent="0.25">
      <c r="A473" s="25" t="s">
        <v>15</v>
      </c>
      <c r="B473" s="1" t="s">
        <v>19</v>
      </c>
      <c r="C473" s="2">
        <v>91437</v>
      </c>
      <c r="D473" s="2">
        <v>5648</v>
      </c>
      <c r="E473" s="1">
        <v>480</v>
      </c>
      <c r="F473" s="1">
        <v>1.83</v>
      </c>
      <c r="G473" s="1">
        <v>8834</v>
      </c>
      <c r="H473" s="1">
        <v>10.43</v>
      </c>
      <c r="I473" s="1" t="s">
        <v>23</v>
      </c>
      <c r="J473" s="1" t="s">
        <v>20</v>
      </c>
      <c r="K473" s="26">
        <v>1</v>
      </c>
    </row>
    <row r="474" spans="1:11" x14ac:dyDescent="0.25">
      <c r="A474" s="25" t="s">
        <v>11</v>
      </c>
      <c r="B474" s="1" t="s">
        <v>12</v>
      </c>
      <c r="C474" s="2">
        <v>108540</v>
      </c>
      <c r="D474" s="2">
        <v>34623</v>
      </c>
      <c r="E474" s="1">
        <v>190</v>
      </c>
      <c r="F474" s="1">
        <v>1.95</v>
      </c>
      <c r="G474" s="1">
        <v>6508</v>
      </c>
      <c r="H474" s="1">
        <v>18.61</v>
      </c>
      <c r="I474" s="1" t="s">
        <v>16</v>
      </c>
      <c r="J474" s="1" t="s">
        <v>17</v>
      </c>
      <c r="K474" s="26">
        <v>3</v>
      </c>
    </row>
    <row r="475" spans="1:11" x14ac:dyDescent="0.25">
      <c r="A475" s="25" t="s">
        <v>15</v>
      </c>
      <c r="B475" s="1" t="s">
        <v>19</v>
      </c>
      <c r="C475" s="2">
        <v>82982</v>
      </c>
      <c r="D475" s="2">
        <v>36634</v>
      </c>
      <c r="E475" s="1">
        <v>257</v>
      </c>
      <c r="F475" s="1">
        <v>4.63</v>
      </c>
      <c r="G475" s="1">
        <v>8487</v>
      </c>
      <c r="H475" s="1">
        <v>16.34</v>
      </c>
      <c r="I475" s="1" t="s">
        <v>16</v>
      </c>
      <c r="J475" s="1" t="s">
        <v>20</v>
      </c>
      <c r="K475" s="26">
        <v>5</v>
      </c>
    </row>
    <row r="476" spans="1:11" x14ac:dyDescent="0.25">
      <c r="A476" s="25" t="s">
        <v>11</v>
      </c>
      <c r="B476" s="1" t="s">
        <v>25</v>
      </c>
      <c r="C476" s="2">
        <v>112747</v>
      </c>
      <c r="D476" s="2">
        <v>45602</v>
      </c>
      <c r="E476" s="1">
        <v>637</v>
      </c>
      <c r="F476" s="1">
        <v>2.87</v>
      </c>
      <c r="G476" s="1">
        <v>3832</v>
      </c>
      <c r="H476" s="1">
        <v>3.77</v>
      </c>
      <c r="I476" s="1" t="s">
        <v>26</v>
      </c>
      <c r="J476" s="1" t="s">
        <v>20</v>
      </c>
      <c r="K476" s="26">
        <v>6</v>
      </c>
    </row>
    <row r="477" spans="1:11" x14ac:dyDescent="0.25">
      <c r="A477" s="25" t="s">
        <v>15</v>
      </c>
      <c r="B477" s="1" t="s">
        <v>25</v>
      </c>
      <c r="C477" s="2">
        <v>196994</v>
      </c>
      <c r="D477" s="2">
        <v>4112</v>
      </c>
      <c r="E477" s="1">
        <v>288</v>
      </c>
      <c r="F477" s="1">
        <v>2.87</v>
      </c>
      <c r="G477" s="1">
        <v>1287</v>
      </c>
      <c r="H477" s="1">
        <v>8.69</v>
      </c>
      <c r="I477" s="1" t="s">
        <v>22</v>
      </c>
      <c r="J477" s="1" t="s">
        <v>20</v>
      </c>
      <c r="K477" s="26">
        <v>1</v>
      </c>
    </row>
    <row r="478" spans="1:11" x14ac:dyDescent="0.25">
      <c r="A478" s="25" t="s">
        <v>18</v>
      </c>
      <c r="B478" s="1" t="s">
        <v>12</v>
      </c>
      <c r="C478" s="2">
        <v>58231</v>
      </c>
      <c r="D478" s="2">
        <v>23054</v>
      </c>
      <c r="E478" s="1">
        <v>886</v>
      </c>
      <c r="F478" s="1">
        <v>4.04</v>
      </c>
      <c r="G478" s="1">
        <v>6722</v>
      </c>
      <c r="H478" s="1">
        <v>7.16</v>
      </c>
      <c r="I478" s="1" t="s">
        <v>26</v>
      </c>
      <c r="J478" s="1" t="s">
        <v>17</v>
      </c>
      <c r="K478" s="26">
        <v>9</v>
      </c>
    </row>
    <row r="479" spans="1:11" x14ac:dyDescent="0.25">
      <c r="A479" s="25" t="s">
        <v>15</v>
      </c>
      <c r="B479" s="1" t="s">
        <v>21</v>
      </c>
      <c r="C479" s="2">
        <v>39301</v>
      </c>
      <c r="D479" s="2">
        <v>5492</v>
      </c>
      <c r="E479" s="1">
        <v>590</v>
      </c>
      <c r="F479" s="1">
        <v>1.62</v>
      </c>
      <c r="G479" s="1">
        <v>10373</v>
      </c>
      <c r="H479" s="1">
        <v>6.41</v>
      </c>
      <c r="I479" s="1" t="s">
        <v>22</v>
      </c>
      <c r="J479" s="1" t="s">
        <v>14</v>
      </c>
      <c r="K479" s="26">
        <v>3</v>
      </c>
    </row>
    <row r="480" spans="1:11" x14ac:dyDescent="0.25">
      <c r="A480" s="25" t="s">
        <v>18</v>
      </c>
      <c r="B480" s="1" t="s">
        <v>27</v>
      </c>
      <c r="C480" s="2">
        <v>182395</v>
      </c>
      <c r="D480" s="2">
        <v>23207</v>
      </c>
      <c r="E480" s="1">
        <v>872</v>
      </c>
      <c r="F480" s="1">
        <v>2.95</v>
      </c>
      <c r="G480" s="1">
        <v>17506</v>
      </c>
      <c r="H480" s="1">
        <v>12.33</v>
      </c>
      <c r="I480" s="1" t="s">
        <v>23</v>
      </c>
      <c r="J480" s="1" t="s">
        <v>17</v>
      </c>
      <c r="K480" s="26">
        <v>3</v>
      </c>
    </row>
    <row r="481" spans="1:11" x14ac:dyDescent="0.25">
      <c r="A481" s="25" t="s">
        <v>15</v>
      </c>
      <c r="B481" s="1" t="s">
        <v>25</v>
      </c>
      <c r="C481" s="2">
        <v>28752</v>
      </c>
      <c r="D481" s="2">
        <v>16114</v>
      </c>
      <c r="E481" s="1">
        <v>263</v>
      </c>
      <c r="F481" s="1">
        <v>2.72</v>
      </c>
      <c r="G481" s="1">
        <v>4176</v>
      </c>
      <c r="H481" s="1">
        <v>21.12</v>
      </c>
      <c r="I481" s="1" t="s">
        <v>16</v>
      </c>
      <c r="J481" s="1" t="s">
        <v>20</v>
      </c>
      <c r="K481" s="26">
        <v>2</v>
      </c>
    </row>
    <row r="482" spans="1:11" x14ac:dyDescent="0.25">
      <c r="A482" s="25" t="s">
        <v>15</v>
      </c>
      <c r="B482" s="1" t="s">
        <v>25</v>
      </c>
      <c r="C482" s="2">
        <v>108452</v>
      </c>
      <c r="D482" s="2">
        <v>35285</v>
      </c>
      <c r="E482" s="1">
        <v>190</v>
      </c>
      <c r="F482" s="1">
        <v>3.39</v>
      </c>
      <c r="G482" s="1">
        <v>3072</v>
      </c>
      <c r="H482" s="1">
        <v>6.52</v>
      </c>
      <c r="I482" s="1" t="s">
        <v>16</v>
      </c>
      <c r="J482" s="1" t="s">
        <v>14</v>
      </c>
      <c r="K482" s="26">
        <v>8</v>
      </c>
    </row>
    <row r="483" spans="1:11" x14ac:dyDescent="0.25">
      <c r="A483" s="25" t="s">
        <v>24</v>
      </c>
      <c r="B483" s="1" t="s">
        <v>21</v>
      </c>
      <c r="C483" s="2">
        <v>154467</v>
      </c>
      <c r="D483" s="2">
        <v>17018</v>
      </c>
      <c r="E483" s="1">
        <v>839</v>
      </c>
      <c r="F483" s="1">
        <v>5</v>
      </c>
      <c r="G483" s="1">
        <v>7415</v>
      </c>
      <c r="H483" s="1">
        <v>11</v>
      </c>
      <c r="I483" s="1" t="s">
        <v>23</v>
      </c>
      <c r="J483" s="1" t="s">
        <v>20</v>
      </c>
      <c r="K483" s="26">
        <v>3</v>
      </c>
    </row>
    <row r="484" spans="1:11" x14ac:dyDescent="0.25">
      <c r="A484" s="25" t="s">
        <v>18</v>
      </c>
      <c r="B484" s="1" t="s">
        <v>21</v>
      </c>
      <c r="C484" s="2">
        <v>131237</v>
      </c>
      <c r="D484" s="2">
        <v>22386</v>
      </c>
      <c r="E484" s="1">
        <v>690</v>
      </c>
      <c r="F484" s="1">
        <v>4.08</v>
      </c>
      <c r="G484" s="1">
        <v>5533</v>
      </c>
      <c r="H484" s="1">
        <v>11.73</v>
      </c>
      <c r="I484" s="1" t="s">
        <v>26</v>
      </c>
      <c r="J484" s="1" t="s">
        <v>14</v>
      </c>
      <c r="K484" s="26">
        <v>6</v>
      </c>
    </row>
    <row r="485" spans="1:11" x14ac:dyDescent="0.25">
      <c r="A485" s="25" t="s">
        <v>24</v>
      </c>
      <c r="B485" s="1" t="s">
        <v>19</v>
      </c>
      <c r="C485" s="2">
        <v>66273</v>
      </c>
      <c r="D485" s="2">
        <v>18740</v>
      </c>
      <c r="E485" s="1">
        <v>834</v>
      </c>
      <c r="F485" s="1">
        <v>2.59</v>
      </c>
      <c r="G485" s="1">
        <v>8288</v>
      </c>
      <c r="H485" s="1">
        <v>29.29</v>
      </c>
      <c r="I485" s="1" t="s">
        <v>26</v>
      </c>
      <c r="J485" s="1" t="s">
        <v>17</v>
      </c>
      <c r="K485" s="26">
        <v>2</v>
      </c>
    </row>
    <row r="486" spans="1:11" x14ac:dyDescent="0.25">
      <c r="A486" s="25" t="s">
        <v>18</v>
      </c>
      <c r="B486" s="1" t="s">
        <v>19</v>
      </c>
      <c r="C486" s="2">
        <v>101878</v>
      </c>
      <c r="D486" s="2">
        <v>45199</v>
      </c>
      <c r="E486" s="1">
        <v>518</v>
      </c>
      <c r="F486" s="1">
        <v>4.3099999999999996</v>
      </c>
      <c r="G486" s="1">
        <v>16189</v>
      </c>
      <c r="H486" s="1">
        <v>28.64</v>
      </c>
      <c r="I486" s="1" t="s">
        <v>13</v>
      </c>
      <c r="J486" s="1" t="s">
        <v>14</v>
      </c>
      <c r="K486" s="26">
        <v>7</v>
      </c>
    </row>
    <row r="487" spans="1:11" x14ac:dyDescent="0.25">
      <c r="A487" s="25" t="s">
        <v>24</v>
      </c>
      <c r="B487" s="1" t="s">
        <v>27</v>
      </c>
      <c r="C487" s="2">
        <v>14895</v>
      </c>
      <c r="D487" s="2">
        <v>9210</v>
      </c>
      <c r="E487" s="1">
        <v>770</v>
      </c>
      <c r="F487" s="1">
        <v>1.68</v>
      </c>
      <c r="G487" s="1">
        <v>11952</v>
      </c>
      <c r="H487" s="1">
        <v>24</v>
      </c>
      <c r="I487" s="1" t="s">
        <v>22</v>
      </c>
      <c r="J487" s="1" t="s">
        <v>17</v>
      </c>
      <c r="K487" s="26">
        <v>4</v>
      </c>
    </row>
    <row r="488" spans="1:11" x14ac:dyDescent="0.25">
      <c r="A488" s="25" t="s">
        <v>11</v>
      </c>
      <c r="B488" s="1" t="s">
        <v>27</v>
      </c>
      <c r="C488" s="2">
        <v>129968</v>
      </c>
      <c r="D488" s="2">
        <v>45363</v>
      </c>
      <c r="E488" s="1">
        <v>709</v>
      </c>
      <c r="F488" s="1">
        <v>1.1200000000000001</v>
      </c>
      <c r="G488" s="1">
        <v>5212</v>
      </c>
      <c r="H488" s="1">
        <v>7.25</v>
      </c>
      <c r="I488" s="1" t="s">
        <v>26</v>
      </c>
      <c r="J488" s="1" t="s">
        <v>20</v>
      </c>
      <c r="K488" s="26">
        <v>9</v>
      </c>
    </row>
    <row r="489" spans="1:11" x14ac:dyDescent="0.25">
      <c r="A489" s="25" t="s">
        <v>15</v>
      </c>
      <c r="B489" s="1" t="s">
        <v>12</v>
      </c>
      <c r="C489" s="2">
        <v>125700</v>
      </c>
      <c r="D489" s="2">
        <v>46639</v>
      </c>
      <c r="E489" s="1">
        <v>575</v>
      </c>
      <c r="F489" s="1">
        <v>1.82</v>
      </c>
      <c r="G489" s="1">
        <v>566</v>
      </c>
      <c r="H489" s="1">
        <v>2.04</v>
      </c>
      <c r="I489" s="1" t="s">
        <v>23</v>
      </c>
      <c r="J489" s="1" t="s">
        <v>14</v>
      </c>
      <c r="K489" s="26">
        <v>9</v>
      </c>
    </row>
    <row r="490" spans="1:11" x14ac:dyDescent="0.25">
      <c r="A490" s="25" t="s">
        <v>18</v>
      </c>
      <c r="B490" s="1" t="s">
        <v>19</v>
      </c>
      <c r="C490" s="2">
        <v>86559</v>
      </c>
      <c r="D490" s="2">
        <v>13743</v>
      </c>
      <c r="E490" s="1">
        <v>335</v>
      </c>
      <c r="F490" s="1">
        <v>2.36</v>
      </c>
      <c r="G490" s="1">
        <v>16355</v>
      </c>
      <c r="H490" s="1">
        <v>9.51</v>
      </c>
      <c r="I490" s="1" t="s">
        <v>26</v>
      </c>
      <c r="J490" s="1" t="s">
        <v>20</v>
      </c>
      <c r="K490" s="26">
        <v>7</v>
      </c>
    </row>
    <row r="491" spans="1:11" x14ac:dyDescent="0.25">
      <c r="A491" s="25" t="s">
        <v>18</v>
      </c>
      <c r="B491" s="1" t="s">
        <v>25</v>
      </c>
      <c r="C491" s="2">
        <v>20699</v>
      </c>
      <c r="D491" s="2">
        <v>43092</v>
      </c>
      <c r="E491" s="1">
        <v>366</v>
      </c>
      <c r="F491" s="1">
        <v>3.04</v>
      </c>
      <c r="G491" s="1">
        <v>12978</v>
      </c>
      <c r="H491" s="1">
        <v>8</v>
      </c>
      <c r="I491" s="1" t="s">
        <v>16</v>
      </c>
      <c r="J491" s="1" t="s">
        <v>14</v>
      </c>
      <c r="K491" s="26">
        <v>8</v>
      </c>
    </row>
    <row r="492" spans="1:11" x14ac:dyDescent="0.25">
      <c r="A492" s="25" t="s">
        <v>15</v>
      </c>
      <c r="B492" s="1" t="s">
        <v>19</v>
      </c>
      <c r="C492" s="2">
        <v>19715</v>
      </c>
      <c r="D492" s="2">
        <v>45299</v>
      </c>
      <c r="E492" s="1">
        <v>834</v>
      </c>
      <c r="F492" s="1">
        <v>3.46</v>
      </c>
      <c r="G492" s="1">
        <v>8033</v>
      </c>
      <c r="H492" s="1">
        <v>15.18</v>
      </c>
      <c r="I492" s="1" t="s">
        <v>22</v>
      </c>
      <c r="J492" s="1" t="s">
        <v>17</v>
      </c>
      <c r="K492" s="26">
        <v>3</v>
      </c>
    </row>
    <row r="493" spans="1:11" x14ac:dyDescent="0.25">
      <c r="A493" s="25" t="s">
        <v>18</v>
      </c>
      <c r="B493" s="1" t="s">
        <v>25</v>
      </c>
      <c r="C493" s="2">
        <v>29169</v>
      </c>
      <c r="D493" s="2">
        <v>7588</v>
      </c>
      <c r="E493" s="1">
        <v>659</v>
      </c>
      <c r="F493" s="1">
        <v>4.6399999999999997</v>
      </c>
      <c r="G493" s="1">
        <v>15603</v>
      </c>
      <c r="H493" s="1">
        <v>23.33</v>
      </c>
      <c r="I493" s="1" t="s">
        <v>13</v>
      </c>
      <c r="J493" s="1" t="s">
        <v>14</v>
      </c>
      <c r="K493" s="26">
        <v>5</v>
      </c>
    </row>
    <row r="494" spans="1:11" x14ac:dyDescent="0.25">
      <c r="A494" s="25" t="s">
        <v>18</v>
      </c>
      <c r="B494" s="1" t="s">
        <v>21</v>
      </c>
      <c r="C494" s="2">
        <v>128413</v>
      </c>
      <c r="D494" s="2">
        <v>4311</v>
      </c>
      <c r="E494" s="1">
        <v>689</v>
      </c>
      <c r="F494" s="1">
        <v>3.04</v>
      </c>
      <c r="G494" s="1">
        <v>5116</v>
      </c>
      <c r="H494" s="1">
        <v>25.75</v>
      </c>
      <c r="I494" s="1" t="s">
        <v>22</v>
      </c>
      <c r="J494" s="1" t="s">
        <v>14</v>
      </c>
      <c r="K494" s="26">
        <v>2</v>
      </c>
    </row>
    <row r="495" spans="1:11" x14ac:dyDescent="0.25">
      <c r="A495" s="25" t="s">
        <v>24</v>
      </c>
      <c r="B495" s="1" t="s">
        <v>19</v>
      </c>
      <c r="C495" s="2">
        <v>157235</v>
      </c>
      <c r="D495" s="2">
        <v>23432</v>
      </c>
      <c r="E495" s="1">
        <v>400</v>
      </c>
      <c r="F495" s="1">
        <v>3.01</v>
      </c>
      <c r="G495" s="1">
        <v>13777</v>
      </c>
      <c r="H495" s="1">
        <v>25.35</v>
      </c>
      <c r="I495" s="1" t="s">
        <v>16</v>
      </c>
      <c r="J495" s="1" t="s">
        <v>17</v>
      </c>
      <c r="K495" s="26">
        <v>7</v>
      </c>
    </row>
    <row r="496" spans="1:11" x14ac:dyDescent="0.25">
      <c r="A496" s="25" t="s">
        <v>18</v>
      </c>
      <c r="B496" s="1" t="s">
        <v>21</v>
      </c>
      <c r="C496" s="2">
        <v>129264</v>
      </c>
      <c r="D496" s="2">
        <v>34755</v>
      </c>
      <c r="E496" s="1">
        <v>624</v>
      </c>
      <c r="F496" s="1">
        <v>1.2</v>
      </c>
      <c r="G496" s="1">
        <v>18024</v>
      </c>
      <c r="H496" s="1">
        <v>10.79</v>
      </c>
      <c r="I496" s="1" t="s">
        <v>16</v>
      </c>
      <c r="J496" s="1" t="s">
        <v>17</v>
      </c>
      <c r="K496" s="26">
        <v>8</v>
      </c>
    </row>
    <row r="497" spans="1:11" x14ac:dyDescent="0.25">
      <c r="A497" s="25" t="s">
        <v>11</v>
      </c>
      <c r="B497" s="1" t="s">
        <v>27</v>
      </c>
      <c r="C497" s="2">
        <v>15782</v>
      </c>
      <c r="D497" s="2">
        <v>4321</v>
      </c>
      <c r="E497" s="1">
        <v>943</v>
      </c>
      <c r="F497" s="1">
        <v>1.1399999999999999</v>
      </c>
      <c r="G497" s="1">
        <v>6230</v>
      </c>
      <c r="H497" s="1">
        <v>20.62</v>
      </c>
      <c r="I497" s="1" t="s">
        <v>16</v>
      </c>
      <c r="J497" s="1" t="s">
        <v>17</v>
      </c>
      <c r="K497" s="26">
        <v>9</v>
      </c>
    </row>
    <row r="498" spans="1:11" x14ac:dyDescent="0.25">
      <c r="A498" s="25" t="s">
        <v>11</v>
      </c>
      <c r="B498" s="1" t="s">
        <v>27</v>
      </c>
      <c r="C498" s="2">
        <v>134481</v>
      </c>
      <c r="D498" s="2">
        <v>16812</v>
      </c>
      <c r="E498" s="1">
        <v>94</v>
      </c>
      <c r="F498" s="1">
        <v>3.2</v>
      </c>
      <c r="G498" s="1">
        <v>11224</v>
      </c>
      <c r="H498" s="1">
        <v>9.39</v>
      </c>
      <c r="I498" s="1" t="s">
        <v>16</v>
      </c>
      <c r="J498" s="1" t="s">
        <v>14</v>
      </c>
      <c r="K498" s="26">
        <v>7</v>
      </c>
    </row>
    <row r="499" spans="1:11" x14ac:dyDescent="0.25">
      <c r="A499" s="25" t="s">
        <v>15</v>
      </c>
      <c r="B499" s="1" t="s">
        <v>12</v>
      </c>
      <c r="C499" s="2">
        <v>45585</v>
      </c>
      <c r="D499" s="2">
        <v>38383</v>
      </c>
      <c r="E499" s="1">
        <v>326</v>
      </c>
      <c r="F499" s="1">
        <v>2.75</v>
      </c>
      <c r="G499" s="1">
        <v>12272</v>
      </c>
      <c r="H499" s="1">
        <v>1.83</v>
      </c>
      <c r="I499" s="1" t="s">
        <v>23</v>
      </c>
      <c r="J499" s="1" t="s">
        <v>20</v>
      </c>
      <c r="K499" s="26">
        <v>8</v>
      </c>
    </row>
    <row r="500" spans="1:11" x14ac:dyDescent="0.25">
      <c r="A500" s="25" t="s">
        <v>18</v>
      </c>
      <c r="B500" s="1" t="s">
        <v>19</v>
      </c>
      <c r="C500" s="2">
        <v>40682</v>
      </c>
      <c r="D500" s="2">
        <v>49280</v>
      </c>
      <c r="E500" s="1">
        <v>221</v>
      </c>
      <c r="F500" s="1">
        <v>4.3600000000000003</v>
      </c>
      <c r="G500" s="1">
        <v>16768</v>
      </c>
      <c r="H500" s="1">
        <v>21.05</v>
      </c>
      <c r="I500" s="1" t="s">
        <v>13</v>
      </c>
      <c r="J500" s="1" t="s">
        <v>14</v>
      </c>
      <c r="K500" s="26">
        <v>9</v>
      </c>
    </row>
    <row r="501" spans="1:11" x14ac:dyDescent="0.25">
      <c r="A501" s="25" t="s">
        <v>15</v>
      </c>
      <c r="B501" s="1" t="s">
        <v>21</v>
      </c>
      <c r="C501" s="2">
        <v>188936</v>
      </c>
      <c r="D501" s="2">
        <v>14146</v>
      </c>
      <c r="E501" s="1">
        <v>524</v>
      </c>
      <c r="F501" s="1">
        <v>1.64</v>
      </c>
      <c r="G501" s="1">
        <v>13440</v>
      </c>
      <c r="H501" s="1">
        <v>0.28999999999999998</v>
      </c>
      <c r="I501" s="1" t="s">
        <v>16</v>
      </c>
      <c r="J501" s="1" t="s">
        <v>14</v>
      </c>
      <c r="K501" s="26">
        <v>6</v>
      </c>
    </row>
    <row r="502" spans="1:11" x14ac:dyDescent="0.25">
      <c r="A502" s="25" t="s">
        <v>11</v>
      </c>
      <c r="B502" s="1" t="s">
        <v>25</v>
      </c>
      <c r="C502" s="2">
        <v>139992</v>
      </c>
      <c r="D502" s="2">
        <v>14654</v>
      </c>
      <c r="E502" s="1">
        <v>393</v>
      </c>
      <c r="F502" s="1">
        <v>1.1000000000000001</v>
      </c>
      <c r="G502" s="1">
        <v>17432</v>
      </c>
      <c r="H502" s="1">
        <v>12.28</v>
      </c>
      <c r="I502" s="1" t="s">
        <v>16</v>
      </c>
      <c r="J502" s="1" t="s">
        <v>20</v>
      </c>
      <c r="K502" s="26">
        <v>2</v>
      </c>
    </row>
    <row r="503" spans="1:11" x14ac:dyDescent="0.25">
      <c r="A503" s="25" t="s">
        <v>18</v>
      </c>
      <c r="B503" s="1" t="s">
        <v>27</v>
      </c>
      <c r="C503" s="2">
        <v>94416</v>
      </c>
      <c r="D503" s="2">
        <v>36820</v>
      </c>
      <c r="E503" s="1">
        <v>700</v>
      </c>
      <c r="F503" s="1">
        <v>2.8</v>
      </c>
      <c r="G503" s="1">
        <v>15143</v>
      </c>
      <c r="H503" s="1">
        <v>9.8800000000000008</v>
      </c>
      <c r="I503" s="1" t="s">
        <v>26</v>
      </c>
      <c r="J503" s="1" t="s">
        <v>17</v>
      </c>
      <c r="K503" s="26">
        <v>2</v>
      </c>
    </row>
    <row r="504" spans="1:11" x14ac:dyDescent="0.25">
      <c r="A504" s="25" t="s">
        <v>18</v>
      </c>
      <c r="B504" s="1" t="s">
        <v>27</v>
      </c>
      <c r="C504" s="2">
        <v>196186</v>
      </c>
      <c r="D504" s="2">
        <v>1726</v>
      </c>
      <c r="E504" s="1">
        <v>351</v>
      </c>
      <c r="F504" s="1">
        <v>1.95</v>
      </c>
      <c r="G504" s="1">
        <v>698</v>
      </c>
      <c r="H504" s="1">
        <v>20.8</v>
      </c>
      <c r="I504" s="1" t="s">
        <v>13</v>
      </c>
      <c r="J504" s="1" t="s">
        <v>14</v>
      </c>
      <c r="K504" s="26">
        <v>4</v>
      </c>
    </row>
    <row r="505" spans="1:11" x14ac:dyDescent="0.25">
      <c r="A505" s="25" t="s">
        <v>15</v>
      </c>
      <c r="B505" s="1" t="s">
        <v>25</v>
      </c>
      <c r="C505" s="2">
        <v>137810</v>
      </c>
      <c r="D505" s="2">
        <v>4760</v>
      </c>
      <c r="E505" s="1">
        <v>824</v>
      </c>
      <c r="F505" s="1">
        <v>1.2</v>
      </c>
      <c r="G505" s="1">
        <v>17455</v>
      </c>
      <c r="H505" s="1">
        <v>22.99</v>
      </c>
      <c r="I505" s="1" t="s">
        <v>22</v>
      </c>
      <c r="J505" s="1" t="s">
        <v>20</v>
      </c>
      <c r="K505" s="26">
        <v>9</v>
      </c>
    </row>
    <row r="506" spans="1:11" x14ac:dyDescent="0.25">
      <c r="A506" s="25" t="s">
        <v>11</v>
      </c>
      <c r="B506" s="1" t="s">
        <v>21</v>
      </c>
      <c r="C506" s="2">
        <v>48067</v>
      </c>
      <c r="D506" s="2">
        <v>23190</v>
      </c>
      <c r="E506" s="1">
        <v>973</v>
      </c>
      <c r="F506" s="1">
        <v>3.9</v>
      </c>
      <c r="G506" s="1">
        <v>17674</v>
      </c>
      <c r="H506" s="1">
        <v>9.1199999999999992</v>
      </c>
      <c r="I506" s="1" t="s">
        <v>13</v>
      </c>
      <c r="J506" s="1" t="s">
        <v>17</v>
      </c>
      <c r="K506" s="26">
        <v>7</v>
      </c>
    </row>
    <row r="507" spans="1:11" x14ac:dyDescent="0.25">
      <c r="A507" s="25" t="s">
        <v>18</v>
      </c>
      <c r="B507" s="1" t="s">
        <v>21</v>
      </c>
      <c r="C507" s="2">
        <v>183757</v>
      </c>
      <c r="D507" s="2">
        <v>2875</v>
      </c>
      <c r="E507" s="1">
        <v>997</v>
      </c>
      <c r="F507" s="1">
        <v>1.45</v>
      </c>
      <c r="G507" s="1">
        <v>10330</v>
      </c>
      <c r="H507" s="1">
        <v>24.35</v>
      </c>
      <c r="I507" s="1" t="s">
        <v>13</v>
      </c>
      <c r="J507" s="1" t="s">
        <v>17</v>
      </c>
      <c r="K507" s="26">
        <v>2</v>
      </c>
    </row>
    <row r="508" spans="1:11" x14ac:dyDescent="0.25">
      <c r="A508" s="25" t="s">
        <v>15</v>
      </c>
      <c r="B508" s="1" t="s">
        <v>19</v>
      </c>
      <c r="C508" s="2">
        <v>28073</v>
      </c>
      <c r="D508" s="2">
        <v>24377</v>
      </c>
      <c r="E508" s="1">
        <v>853</v>
      </c>
      <c r="F508" s="1">
        <v>3.43</v>
      </c>
      <c r="G508" s="1">
        <v>14298</v>
      </c>
      <c r="H508" s="1">
        <v>8.82</v>
      </c>
      <c r="I508" s="1" t="s">
        <v>13</v>
      </c>
      <c r="J508" s="1" t="s">
        <v>14</v>
      </c>
      <c r="K508" s="26">
        <v>8</v>
      </c>
    </row>
    <row r="509" spans="1:11" x14ac:dyDescent="0.25">
      <c r="A509" s="25" t="s">
        <v>11</v>
      </c>
      <c r="B509" s="1" t="s">
        <v>19</v>
      </c>
      <c r="C509" s="2">
        <v>46035</v>
      </c>
      <c r="D509" s="2">
        <v>47737</v>
      </c>
      <c r="E509" s="1">
        <v>47</v>
      </c>
      <c r="F509" s="1">
        <v>2.12</v>
      </c>
      <c r="G509" s="1">
        <v>18058</v>
      </c>
      <c r="H509" s="1">
        <v>13.39</v>
      </c>
      <c r="I509" s="1" t="s">
        <v>16</v>
      </c>
      <c r="J509" s="1" t="s">
        <v>17</v>
      </c>
      <c r="K509" s="26">
        <v>7</v>
      </c>
    </row>
    <row r="510" spans="1:11" x14ac:dyDescent="0.25">
      <c r="A510" s="25" t="s">
        <v>15</v>
      </c>
      <c r="B510" s="1" t="s">
        <v>12</v>
      </c>
      <c r="C510" s="2">
        <v>100373</v>
      </c>
      <c r="D510" s="2">
        <v>5033</v>
      </c>
      <c r="E510" s="1">
        <v>520</v>
      </c>
      <c r="F510" s="1">
        <v>1.69</v>
      </c>
      <c r="G510" s="1">
        <v>11969</v>
      </c>
      <c r="H510" s="1">
        <v>21.81</v>
      </c>
      <c r="I510" s="1" t="s">
        <v>16</v>
      </c>
      <c r="J510" s="1" t="s">
        <v>17</v>
      </c>
      <c r="K510" s="26">
        <v>9</v>
      </c>
    </row>
    <row r="511" spans="1:11" x14ac:dyDescent="0.25">
      <c r="A511" s="25" t="s">
        <v>24</v>
      </c>
      <c r="B511" s="1" t="s">
        <v>27</v>
      </c>
      <c r="C511" s="2">
        <v>93362</v>
      </c>
      <c r="D511" s="2">
        <v>39211</v>
      </c>
      <c r="E511" s="1">
        <v>429</v>
      </c>
      <c r="F511" s="1">
        <v>2.52</v>
      </c>
      <c r="G511" s="1">
        <v>678</v>
      </c>
      <c r="H511" s="1">
        <v>20.79</v>
      </c>
      <c r="I511" s="1" t="s">
        <v>23</v>
      </c>
      <c r="J511" s="1" t="s">
        <v>20</v>
      </c>
      <c r="K511" s="26">
        <v>8</v>
      </c>
    </row>
    <row r="512" spans="1:11" x14ac:dyDescent="0.25">
      <c r="A512" s="25" t="s">
        <v>18</v>
      </c>
      <c r="B512" s="1" t="s">
        <v>19</v>
      </c>
      <c r="C512" s="2">
        <v>100517</v>
      </c>
      <c r="D512" s="2">
        <v>18373</v>
      </c>
      <c r="E512" s="1">
        <v>760</v>
      </c>
      <c r="F512" s="1">
        <v>4.21</v>
      </c>
      <c r="G512" s="1">
        <v>19128</v>
      </c>
      <c r="H512" s="1">
        <v>29.62</v>
      </c>
      <c r="I512" s="1" t="s">
        <v>22</v>
      </c>
      <c r="J512" s="1" t="s">
        <v>20</v>
      </c>
      <c r="K512" s="26">
        <v>3</v>
      </c>
    </row>
    <row r="513" spans="1:11" x14ac:dyDescent="0.25">
      <c r="A513" s="25" t="s">
        <v>24</v>
      </c>
      <c r="B513" s="1" t="s">
        <v>21</v>
      </c>
      <c r="C513" s="2">
        <v>75450</v>
      </c>
      <c r="D513" s="2">
        <v>4744</v>
      </c>
      <c r="E513" s="1">
        <v>178</v>
      </c>
      <c r="F513" s="1">
        <v>2.57</v>
      </c>
      <c r="G513" s="1">
        <v>17618</v>
      </c>
      <c r="H513" s="1">
        <v>6.75</v>
      </c>
      <c r="I513" s="1" t="s">
        <v>26</v>
      </c>
      <c r="J513" s="1" t="s">
        <v>17</v>
      </c>
      <c r="K513" s="26">
        <v>1</v>
      </c>
    </row>
    <row r="514" spans="1:11" x14ac:dyDescent="0.25">
      <c r="A514" s="25" t="s">
        <v>11</v>
      </c>
      <c r="B514" s="1" t="s">
        <v>25</v>
      </c>
      <c r="C514" s="2">
        <v>20382</v>
      </c>
      <c r="D514" s="2">
        <v>25995</v>
      </c>
      <c r="E514" s="1">
        <v>974</v>
      </c>
      <c r="F514" s="1">
        <v>4</v>
      </c>
      <c r="G514" s="1">
        <v>1298</v>
      </c>
      <c r="H514" s="1">
        <v>19.87</v>
      </c>
      <c r="I514" s="1" t="s">
        <v>13</v>
      </c>
      <c r="J514" s="1" t="s">
        <v>20</v>
      </c>
      <c r="K514" s="26">
        <v>2</v>
      </c>
    </row>
    <row r="515" spans="1:11" x14ac:dyDescent="0.25">
      <c r="A515" s="25" t="s">
        <v>24</v>
      </c>
      <c r="B515" s="1" t="s">
        <v>21</v>
      </c>
      <c r="C515" s="2">
        <v>145509</v>
      </c>
      <c r="D515" s="2">
        <v>17977</v>
      </c>
      <c r="E515" s="1">
        <v>918</v>
      </c>
      <c r="F515" s="1">
        <v>1.5</v>
      </c>
      <c r="G515" s="1">
        <v>8101</v>
      </c>
      <c r="H515" s="1">
        <v>18.29</v>
      </c>
      <c r="I515" s="1" t="s">
        <v>22</v>
      </c>
      <c r="J515" s="1" t="s">
        <v>17</v>
      </c>
      <c r="K515" s="26">
        <v>2</v>
      </c>
    </row>
    <row r="516" spans="1:11" x14ac:dyDescent="0.25">
      <c r="A516" s="25" t="s">
        <v>24</v>
      </c>
      <c r="B516" s="1" t="s">
        <v>27</v>
      </c>
      <c r="C516" s="2">
        <v>71929</v>
      </c>
      <c r="D516" s="2">
        <v>33402</v>
      </c>
      <c r="E516" s="1">
        <v>352</v>
      </c>
      <c r="F516" s="1">
        <v>4.09</v>
      </c>
      <c r="G516" s="1">
        <v>3295</v>
      </c>
      <c r="H516" s="1">
        <v>27.45</v>
      </c>
      <c r="I516" s="1" t="s">
        <v>22</v>
      </c>
      <c r="J516" s="1" t="s">
        <v>14</v>
      </c>
      <c r="K516" s="26">
        <v>4</v>
      </c>
    </row>
    <row r="517" spans="1:11" x14ac:dyDescent="0.25">
      <c r="A517" s="25" t="s">
        <v>11</v>
      </c>
      <c r="B517" s="1" t="s">
        <v>21</v>
      </c>
      <c r="C517" s="2">
        <v>108864</v>
      </c>
      <c r="D517" s="2">
        <v>35542</v>
      </c>
      <c r="E517" s="1">
        <v>835</v>
      </c>
      <c r="F517" s="1">
        <v>1.95</v>
      </c>
      <c r="G517" s="1">
        <v>12996</v>
      </c>
      <c r="H517" s="1">
        <v>4.6900000000000004</v>
      </c>
      <c r="I517" s="1" t="s">
        <v>23</v>
      </c>
      <c r="J517" s="1" t="s">
        <v>20</v>
      </c>
      <c r="K517" s="26">
        <v>6</v>
      </c>
    </row>
    <row r="518" spans="1:11" x14ac:dyDescent="0.25">
      <c r="A518" s="25" t="s">
        <v>15</v>
      </c>
      <c r="B518" s="1" t="s">
        <v>12</v>
      </c>
      <c r="C518" s="2">
        <v>153401</v>
      </c>
      <c r="D518" s="2">
        <v>11651</v>
      </c>
      <c r="E518" s="1">
        <v>315</v>
      </c>
      <c r="F518" s="1">
        <v>3.71</v>
      </c>
      <c r="G518" s="1">
        <v>5088</v>
      </c>
      <c r="H518" s="1">
        <v>22.55</v>
      </c>
      <c r="I518" s="1" t="s">
        <v>26</v>
      </c>
      <c r="J518" s="1" t="s">
        <v>17</v>
      </c>
      <c r="K518" s="26">
        <v>4</v>
      </c>
    </row>
    <row r="519" spans="1:11" x14ac:dyDescent="0.25">
      <c r="A519" s="25" t="s">
        <v>24</v>
      </c>
      <c r="B519" s="1" t="s">
        <v>27</v>
      </c>
      <c r="C519" s="2">
        <v>35169</v>
      </c>
      <c r="D519" s="2">
        <v>34703</v>
      </c>
      <c r="E519" s="1">
        <v>551</v>
      </c>
      <c r="F519" s="1">
        <v>3.26</v>
      </c>
      <c r="G519" s="1">
        <v>7797</v>
      </c>
      <c r="H519" s="1">
        <v>17.05</v>
      </c>
      <c r="I519" s="1" t="s">
        <v>13</v>
      </c>
      <c r="J519" s="1" t="s">
        <v>17</v>
      </c>
      <c r="K519" s="26">
        <v>9</v>
      </c>
    </row>
    <row r="520" spans="1:11" x14ac:dyDescent="0.25">
      <c r="A520" s="25" t="s">
        <v>15</v>
      </c>
      <c r="B520" s="1" t="s">
        <v>25</v>
      </c>
      <c r="C520" s="2">
        <v>97468</v>
      </c>
      <c r="D520" s="2">
        <v>14395</v>
      </c>
      <c r="E520" s="1">
        <v>711</v>
      </c>
      <c r="F520" s="1">
        <v>4.72</v>
      </c>
      <c r="G520" s="1">
        <v>3584</v>
      </c>
      <c r="H520" s="1">
        <v>8.24</v>
      </c>
      <c r="I520" s="1" t="s">
        <v>26</v>
      </c>
      <c r="J520" s="1" t="s">
        <v>20</v>
      </c>
      <c r="K520" s="26">
        <v>4</v>
      </c>
    </row>
    <row r="521" spans="1:11" x14ac:dyDescent="0.25">
      <c r="A521" s="25" t="s">
        <v>24</v>
      </c>
      <c r="B521" s="1" t="s">
        <v>12</v>
      </c>
      <c r="C521" s="2">
        <v>44594</v>
      </c>
      <c r="D521" s="2">
        <v>30808</v>
      </c>
      <c r="E521" s="1">
        <v>878</v>
      </c>
      <c r="F521" s="1">
        <v>2.5499999999999998</v>
      </c>
      <c r="G521" s="1">
        <v>11610</v>
      </c>
      <c r="H521" s="1">
        <v>14.23</v>
      </c>
      <c r="I521" s="1" t="s">
        <v>23</v>
      </c>
      <c r="J521" s="1" t="s">
        <v>20</v>
      </c>
      <c r="K521" s="26">
        <v>6</v>
      </c>
    </row>
    <row r="522" spans="1:11" x14ac:dyDescent="0.25">
      <c r="A522" s="25" t="s">
        <v>15</v>
      </c>
      <c r="B522" s="1" t="s">
        <v>27</v>
      </c>
      <c r="C522" s="2">
        <v>55033</v>
      </c>
      <c r="D522" s="2">
        <v>37576</v>
      </c>
      <c r="E522" s="1">
        <v>546</v>
      </c>
      <c r="F522" s="1">
        <v>1.26</v>
      </c>
      <c r="G522" s="1">
        <v>1231</v>
      </c>
      <c r="H522" s="1">
        <v>10.01</v>
      </c>
      <c r="I522" s="1" t="s">
        <v>16</v>
      </c>
      <c r="J522" s="1" t="s">
        <v>14</v>
      </c>
      <c r="K522" s="26">
        <v>6</v>
      </c>
    </row>
    <row r="523" spans="1:11" x14ac:dyDescent="0.25">
      <c r="A523" s="25" t="s">
        <v>11</v>
      </c>
      <c r="B523" s="1" t="s">
        <v>25</v>
      </c>
      <c r="C523" s="2">
        <v>73133</v>
      </c>
      <c r="D523" s="2">
        <v>17715</v>
      </c>
      <c r="E523" s="1">
        <v>121</v>
      </c>
      <c r="F523" s="1">
        <v>1.08</v>
      </c>
      <c r="G523" s="1">
        <v>1629</v>
      </c>
      <c r="H523" s="1">
        <v>17.38</v>
      </c>
      <c r="I523" s="1" t="s">
        <v>22</v>
      </c>
      <c r="J523" s="1" t="s">
        <v>17</v>
      </c>
      <c r="K523" s="26">
        <v>1</v>
      </c>
    </row>
    <row r="524" spans="1:11" x14ac:dyDescent="0.25">
      <c r="A524" s="25" t="s">
        <v>24</v>
      </c>
      <c r="B524" s="1" t="s">
        <v>12</v>
      </c>
      <c r="C524" s="2">
        <v>83861</v>
      </c>
      <c r="D524" s="2">
        <v>45409</v>
      </c>
      <c r="E524" s="1">
        <v>420</v>
      </c>
      <c r="F524" s="1">
        <v>4.3099999999999996</v>
      </c>
      <c r="G524" s="1">
        <v>2105</v>
      </c>
      <c r="H524" s="1">
        <v>26.67</v>
      </c>
      <c r="I524" s="1" t="s">
        <v>13</v>
      </c>
      <c r="J524" s="1" t="s">
        <v>14</v>
      </c>
      <c r="K524" s="26">
        <v>8</v>
      </c>
    </row>
    <row r="525" spans="1:11" x14ac:dyDescent="0.25">
      <c r="A525" s="25" t="s">
        <v>11</v>
      </c>
      <c r="B525" s="1" t="s">
        <v>12</v>
      </c>
      <c r="C525" s="2">
        <v>193362</v>
      </c>
      <c r="D525" s="2">
        <v>25306</v>
      </c>
      <c r="E525" s="1">
        <v>956</v>
      </c>
      <c r="F525" s="1">
        <v>3.1</v>
      </c>
      <c r="G525" s="1">
        <v>12470</v>
      </c>
      <c r="H525" s="1">
        <v>17.079999999999998</v>
      </c>
      <c r="I525" s="1" t="s">
        <v>16</v>
      </c>
      <c r="J525" s="1" t="s">
        <v>14</v>
      </c>
      <c r="K525" s="26">
        <v>3</v>
      </c>
    </row>
    <row r="526" spans="1:11" x14ac:dyDescent="0.25">
      <c r="A526" s="25" t="s">
        <v>24</v>
      </c>
      <c r="B526" s="1" t="s">
        <v>27</v>
      </c>
      <c r="C526" s="2">
        <v>41750</v>
      </c>
      <c r="D526" s="2">
        <v>20086</v>
      </c>
      <c r="E526" s="1">
        <v>215</v>
      </c>
      <c r="F526" s="1">
        <v>4.0999999999999996</v>
      </c>
      <c r="G526" s="1">
        <v>11437</v>
      </c>
      <c r="H526" s="1">
        <v>18.95</v>
      </c>
      <c r="I526" s="1" t="s">
        <v>23</v>
      </c>
      <c r="J526" s="1" t="s">
        <v>14</v>
      </c>
      <c r="K526" s="26">
        <v>6</v>
      </c>
    </row>
    <row r="527" spans="1:11" x14ac:dyDescent="0.25">
      <c r="A527" s="25" t="s">
        <v>11</v>
      </c>
      <c r="B527" s="1" t="s">
        <v>19</v>
      </c>
      <c r="C527" s="2">
        <v>50461</v>
      </c>
      <c r="D527" s="2">
        <v>15376</v>
      </c>
      <c r="E527" s="1">
        <v>194</v>
      </c>
      <c r="F527" s="1">
        <v>1.94</v>
      </c>
      <c r="G527" s="1">
        <v>11862</v>
      </c>
      <c r="H527" s="1">
        <v>15.56</v>
      </c>
      <c r="I527" s="1" t="s">
        <v>26</v>
      </c>
      <c r="J527" s="1" t="s">
        <v>20</v>
      </c>
      <c r="K527" s="26">
        <v>3</v>
      </c>
    </row>
    <row r="528" spans="1:11" x14ac:dyDescent="0.25">
      <c r="A528" s="25" t="s">
        <v>11</v>
      </c>
      <c r="B528" s="1" t="s">
        <v>12</v>
      </c>
      <c r="C528" s="2">
        <v>88222</v>
      </c>
      <c r="D528" s="2">
        <v>6889</v>
      </c>
      <c r="E528" s="1">
        <v>391</v>
      </c>
      <c r="F528" s="1">
        <v>2.38</v>
      </c>
      <c r="G528" s="1">
        <v>3433</v>
      </c>
      <c r="H528" s="1">
        <v>1.53</v>
      </c>
      <c r="I528" s="1" t="s">
        <v>22</v>
      </c>
      <c r="J528" s="1" t="s">
        <v>14</v>
      </c>
      <c r="K528" s="26">
        <v>2</v>
      </c>
    </row>
    <row r="529" spans="1:11" x14ac:dyDescent="0.25">
      <c r="A529" s="25" t="s">
        <v>24</v>
      </c>
      <c r="B529" s="1" t="s">
        <v>12</v>
      </c>
      <c r="C529" s="2">
        <v>122020</v>
      </c>
      <c r="D529" s="2">
        <v>38822</v>
      </c>
      <c r="E529" s="1">
        <v>505</v>
      </c>
      <c r="F529" s="1">
        <v>1.1200000000000001</v>
      </c>
      <c r="G529" s="1">
        <v>15687</v>
      </c>
      <c r="H529" s="1">
        <v>6.99</v>
      </c>
      <c r="I529" s="1" t="s">
        <v>13</v>
      </c>
      <c r="J529" s="1" t="s">
        <v>20</v>
      </c>
      <c r="K529" s="26">
        <v>5</v>
      </c>
    </row>
    <row r="530" spans="1:11" x14ac:dyDescent="0.25">
      <c r="A530" s="25" t="s">
        <v>24</v>
      </c>
      <c r="B530" s="1" t="s">
        <v>25</v>
      </c>
      <c r="C530" s="2">
        <v>34226</v>
      </c>
      <c r="D530" s="2">
        <v>37636</v>
      </c>
      <c r="E530" s="1">
        <v>388</v>
      </c>
      <c r="F530" s="1">
        <v>4.8499999999999996</v>
      </c>
      <c r="G530" s="1">
        <v>5574</v>
      </c>
      <c r="H530" s="1">
        <v>14.76</v>
      </c>
      <c r="I530" s="1" t="s">
        <v>16</v>
      </c>
      <c r="J530" s="1" t="s">
        <v>20</v>
      </c>
      <c r="K530" s="26">
        <v>1</v>
      </c>
    </row>
    <row r="531" spans="1:11" x14ac:dyDescent="0.25">
      <c r="A531" s="25" t="s">
        <v>24</v>
      </c>
      <c r="B531" s="1" t="s">
        <v>21</v>
      </c>
      <c r="C531" s="2">
        <v>16721</v>
      </c>
      <c r="D531" s="2">
        <v>21584</v>
      </c>
      <c r="E531" s="1">
        <v>56</v>
      </c>
      <c r="F531" s="1">
        <v>3.67</v>
      </c>
      <c r="G531" s="1">
        <v>14537</v>
      </c>
      <c r="H531" s="1">
        <v>9.31</v>
      </c>
      <c r="I531" s="1" t="s">
        <v>16</v>
      </c>
      <c r="J531" s="1" t="s">
        <v>14</v>
      </c>
      <c r="K531" s="26">
        <v>9</v>
      </c>
    </row>
    <row r="532" spans="1:11" x14ac:dyDescent="0.25">
      <c r="A532" s="25" t="s">
        <v>18</v>
      </c>
      <c r="B532" s="1" t="s">
        <v>27</v>
      </c>
      <c r="C532" s="2">
        <v>197226</v>
      </c>
      <c r="D532" s="2">
        <v>35610</v>
      </c>
      <c r="E532" s="1">
        <v>895</v>
      </c>
      <c r="F532" s="1">
        <v>4.7300000000000004</v>
      </c>
      <c r="G532" s="1">
        <v>7599</v>
      </c>
      <c r="H532" s="1">
        <v>5.45</v>
      </c>
      <c r="I532" s="1" t="s">
        <v>22</v>
      </c>
      <c r="J532" s="1" t="s">
        <v>14</v>
      </c>
      <c r="K532" s="26">
        <v>7</v>
      </c>
    </row>
    <row r="533" spans="1:11" x14ac:dyDescent="0.25">
      <c r="A533" s="25" t="s">
        <v>15</v>
      </c>
      <c r="B533" s="1" t="s">
        <v>27</v>
      </c>
      <c r="C533" s="2">
        <v>30609</v>
      </c>
      <c r="D533" s="2">
        <v>11058</v>
      </c>
      <c r="E533" s="1">
        <v>749</v>
      </c>
      <c r="F533" s="1">
        <v>2.06</v>
      </c>
      <c r="G533" s="1">
        <v>18374</v>
      </c>
      <c r="H533" s="1">
        <v>15.12</v>
      </c>
      <c r="I533" s="1" t="s">
        <v>26</v>
      </c>
      <c r="J533" s="1" t="s">
        <v>17</v>
      </c>
      <c r="K533" s="26">
        <v>3</v>
      </c>
    </row>
    <row r="534" spans="1:11" x14ac:dyDescent="0.25">
      <c r="A534" s="25" t="s">
        <v>18</v>
      </c>
      <c r="B534" s="1" t="s">
        <v>19</v>
      </c>
      <c r="C534" s="2">
        <v>193202</v>
      </c>
      <c r="D534" s="2">
        <v>10101</v>
      </c>
      <c r="E534" s="1">
        <v>560</v>
      </c>
      <c r="F534" s="1">
        <v>3.45</v>
      </c>
      <c r="G534" s="1">
        <v>1393</v>
      </c>
      <c r="H534" s="1">
        <v>9.68</v>
      </c>
      <c r="I534" s="1" t="s">
        <v>23</v>
      </c>
      <c r="J534" s="1" t="s">
        <v>14</v>
      </c>
      <c r="K534" s="26">
        <v>4</v>
      </c>
    </row>
    <row r="535" spans="1:11" x14ac:dyDescent="0.25">
      <c r="A535" s="25" t="s">
        <v>18</v>
      </c>
      <c r="B535" s="1" t="s">
        <v>19</v>
      </c>
      <c r="C535" s="2">
        <v>140513</v>
      </c>
      <c r="D535" s="2">
        <v>13497</v>
      </c>
      <c r="E535" s="1">
        <v>537</v>
      </c>
      <c r="F535" s="1">
        <v>3.71</v>
      </c>
      <c r="G535" s="1">
        <v>1890</v>
      </c>
      <c r="H535" s="1">
        <v>7.74</v>
      </c>
      <c r="I535" s="1" t="s">
        <v>26</v>
      </c>
      <c r="J535" s="1" t="s">
        <v>17</v>
      </c>
      <c r="K535" s="26">
        <v>6</v>
      </c>
    </row>
    <row r="536" spans="1:11" x14ac:dyDescent="0.25">
      <c r="A536" s="25" t="s">
        <v>11</v>
      </c>
      <c r="B536" s="1" t="s">
        <v>27</v>
      </c>
      <c r="C536" s="2">
        <v>114211</v>
      </c>
      <c r="D536" s="2">
        <v>5658</v>
      </c>
      <c r="E536" s="1">
        <v>513</v>
      </c>
      <c r="F536" s="1">
        <v>2.27</v>
      </c>
      <c r="G536" s="1">
        <v>4739</v>
      </c>
      <c r="H536" s="1">
        <v>13.92</v>
      </c>
      <c r="I536" s="1" t="s">
        <v>26</v>
      </c>
      <c r="J536" s="1" t="s">
        <v>14</v>
      </c>
      <c r="K536" s="26">
        <v>3</v>
      </c>
    </row>
    <row r="537" spans="1:11" x14ac:dyDescent="0.25">
      <c r="A537" s="25" t="s">
        <v>24</v>
      </c>
      <c r="B537" s="1" t="s">
        <v>19</v>
      </c>
      <c r="C537" s="2">
        <v>196321</v>
      </c>
      <c r="D537" s="2">
        <v>12381</v>
      </c>
      <c r="E537" s="1">
        <v>31</v>
      </c>
      <c r="F537" s="1">
        <v>4.3899999999999997</v>
      </c>
      <c r="G537" s="1">
        <v>19147</v>
      </c>
      <c r="H537" s="1">
        <v>4</v>
      </c>
      <c r="I537" s="1" t="s">
        <v>26</v>
      </c>
      <c r="J537" s="1" t="s">
        <v>14</v>
      </c>
      <c r="K537" s="26">
        <v>7</v>
      </c>
    </row>
    <row r="538" spans="1:11" x14ac:dyDescent="0.25">
      <c r="A538" s="25" t="s">
        <v>15</v>
      </c>
      <c r="B538" s="1" t="s">
        <v>25</v>
      </c>
      <c r="C538" s="2">
        <v>189967</v>
      </c>
      <c r="D538" s="2">
        <v>41312</v>
      </c>
      <c r="E538" s="1">
        <v>222</v>
      </c>
      <c r="F538" s="1">
        <v>4.79</v>
      </c>
      <c r="G538" s="1">
        <v>3932</v>
      </c>
      <c r="H538" s="1">
        <v>27.83</v>
      </c>
      <c r="I538" s="1" t="s">
        <v>22</v>
      </c>
      <c r="J538" s="1" t="s">
        <v>14</v>
      </c>
      <c r="K538" s="26">
        <v>6</v>
      </c>
    </row>
    <row r="539" spans="1:11" x14ac:dyDescent="0.25">
      <c r="A539" s="25" t="s">
        <v>11</v>
      </c>
      <c r="B539" s="1" t="s">
        <v>27</v>
      </c>
      <c r="C539" s="2">
        <v>146728</v>
      </c>
      <c r="D539" s="2">
        <v>41486</v>
      </c>
      <c r="E539" s="1">
        <v>319</v>
      </c>
      <c r="F539" s="1">
        <v>4.54</v>
      </c>
      <c r="G539" s="1">
        <v>2871</v>
      </c>
      <c r="H539" s="1">
        <v>26.03</v>
      </c>
      <c r="I539" s="1" t="s">
        <v>22</v>
      </c>
      <c r="J539" s="1" t="s">
        <v>14</v>
      </c>
      <c r="K539" s="26">
        <v>9</v>
      </c>
    </row>
    <row r="540" spans="1:11" x14ac:dyDescent="0.25">
      <c r="A540" s="25" t="s">
        <v>18</v>
      </c>
      <c r="B540" s="1" t="s">
        <v>19</v>
      </c>
      <c r="C540" s="2">
        <v>134865</v>
      </c>
      <c r="D540" s="2">
        <v>47619</v>
      </c>
      <c r="E540" s="1">
        <v>670</v>
      </c>
      <c r="F540" s="1">
        <v>3.96</v>
      </c>
      <c r="G540" s="1">
        <v>2015</v>
      </c>
      <c r="H540" s="1">
        <v>21.23</v>
      </c>
      <c r="I540" s="1" t="s">
        <v>23</v>
      </c>
      <c r="J540" s="1" t="s">
        <v>17</v>
      </c>
      <c r="K540" s="26">
        <v>5</v>
      </c>
    </row>
    <row r="541" spans="1:11" x14ac:dyDescent="0.25">
      <c r="A541" s="25" t="s">
        <v>24</v>
      </c>
      <c r="B541" s="1" t="s">
        <v>27</v>
      </c>
      <c r="C541" s="2">
        <v>84520</v>
      </c>
      <c r="D541" s="2">
        <v>18154</v>
      </c>
      <c r="E541" s="1">
        <v>977</v>
      </c>
      <c r="F541" s="1">
        <v>2.11</v>
      </c>
      <c r="G541" s="1">
        <v>16406</v>
      </c>
      <c r="H541" s="1">
        <v>3.19</v>
      </c>
      <c r="I541" s="1" t="s">
        <v>26</v>
      </c>
      <c r="J541" s="1" t="s">
        <v>17</v>
      </c>
      <c r="K541" s="26">
        <v>4</v>
      </c>
    </row>
    <row r="542" spans="1:11" x14ac:dyDescent="0.25">
      <c r="A542" s="25" t="s">
        <v>11</v>
      </c>
      <c r="B542" s="1" t="s">
        <v>21</v>
      </c>
      <c r="C542" s="2">
        <v>74309</v>
      </c>
      <c r="D542" s="2">
        <v>20539</v>
      </c>
      <c r="E542" s="1">
        <v>762</v>
      </c>
      <c r="F542" s="1">
        <v>2.13</v>
      </c>
      <c r="G542" s="1">
        <v>6826</v>
      </c>
      <c r="H542" s="1">
        <v>23.28</v>
      </c>
      <c r="I542" s="1" t="s">
        <v>22</v>
      </c>
      <c r="J542" s="1" t="s">
        <v>14</v>
      </c>
      <c r="K542" s="26">
        <v>3</v>
      </c>
    </row>
    <row r="543" spans="1:11" x14ac:dyDescent="0.25">
      <c r="A543" s="25" t="s">
        <v>24</v>
      </c>
      <c r="B543" s="1" t="s">
        <v>12</v>
      </c>
      <c r="C543" s="2">
        <v>39984</v>
      </c>
      <c r="D543" s="2">
        <v>12777</v>
      </c>
      <c r="E543" s="1">
        <v>281</v>
      </c>
      <c r="F543" s="1">
        <v>4.8499999999999996</v>
      </c>
      <c r="G543" s="1">
        <v>15105</v>
      </c>
      <c r="H543" s="1">
        <v>24.24</v>
      </c>
      <c r="I543" s="1" t="s">
        <v>23</v>
      </c>
      <c r="J543" s="1" t="s">
        <v>14</v>
      </c>
      <c r="K543" s="26">
        <v>1</v>
      </c>
    </row>
    <row r="544" spans="1:11" x14ac:dyDescent="0.25">
      <c r="A544" s="25" t="s">
        <v>11</v>
      </c>
      <c r="B544" s="1" t="s">
        <v>27</v>
      </c>
      <c r="C544" s="2">
        <v>128947</v>
      </c>
      <c r="D544" s="2">
        <v>35396</v>
      </c>
      <c r="E544" s="1">
        <v>580</v>
      </c>
      <c r="F544" s="1">
        <v>1.04</v>
      </c>
      <c r="G544" s="1">
        <v>6086</v>
      </c>
      <c r="H544" s="1">
        <v>23.03</v>
      </c>
      <c r="I544" s="1" t="s">
        <v>23</v>
      </c>
      <c r="J544" s="1" t="s">
        <v>17</v>
      </c>
      <c r="K544" s="26">
        <v>3</v>
      </c>
    </row>
    <row r="545" spans="1:11" x14ac:dyDescent="0.25">
      <c r="A545" s="25" t="s">
        <v>24</v>
      </c>
      <c r="B545" s="1" t="s">
        <v>12</v>
      </c>
      <c r="C545" s="2">
        <v>15901</v>
      </c>
      <c r="D545" s="2">
        <v>31373</v>
      </c>
      <c r="E545" s="1">
        <v>808</v>
      </c>
      <c r="F545" s="1">
        <v>3.86</v>
      </c>
      <c r="G545" s="1">
        <v>3417</v>
      </c>
      <c r="H545" s="1">
        <v>3.42</v>
      </c>
      <c r="I545" s="1" t="s">
        <v>26</v>
      </c>
      <c r="J545" s="1" t="s">
        <v>20</v>
      </c>
      <c r="K545" s="26">
        <v>3</v>
      </c>
    </row>
    <row r="546" spans="1:11" x14ac:dyDescent="0.25">
      <c r="A546" s="25" t="s">
        <v>18</v>
      </c>
      <c r="B546" s="1" t="s">
        <v>19</v>
      </c>
      <c r="C546" s="2">
        <v>172624</v>
      </c>
      <c r="D546" s="2">
        <v>34154</v>
      </c>
      <c r="E546" s="1">
        <v>947</v>
      </c>
      <c r="F546" s="1">
        <v>3.82</v>
      </c>
      <c r="G546" s="1">
        <v>16401</v>
      </c>
      <c r="H546" s="1">
        <v>19.32</v>
      </c>
      <c r="I546" s="1" t="s">
        <v>13</v>
      </c>
      <c r="J546" s="1" t="s">
        <v>20</v>
      </c>
      <c r="K546" s="26">
        <v>7</v>
      </c>
    </row>
    <row r="547" spans="1:11" x14ac:dyDescent="0.25">
      <c r="A547" s="25" t="s">
        <v>15</v>
      </c>
      <c r="B547" s="1" t="s">
        <v>12</v>
      </c>
      <c r="C547" s="2">
        <v>41055</v>
      </c>
      <c r="D547" s="2">
        <v>7031</v>
      </c>
      <c r="E547" s="1">
        <v>211</v>
      </c>
      <c r="F547" s="1">
        <v>3.49</v>
      </c>
      <c r="G547" s="1">
        <v>18051</v>
      </c>
      <c r="H547" s="1">
        <v>25.03</v>
      </c>
      <c r="I547" s="1" t="s">
        <v>26</v>
      </c>
      <c r="J547" s="1" t="s">
        <v>20</v>
      </c>
      <c r="K547" s="26">
        <v>7</v>
      </c>
    </row>
    <row r="548" spans="1:11" x14ac:dyDescent="0.25">
      <c r="A548" s="25" t="s">
        <v>18</v>
      </c>
      <c r="B548" s="1" t="s">
        <v>27</v>
      </c>
      <c r="C548" s="2">
        <v>178757</v>
      </c>
      <c r="D548" s="2">
        <v>28997</v>
      </c>
      <c r="E548" s="1">
        <v>41</v>
      </c>
      <c r="F548" s="1">
        <v>4.96</v>
      </c>
      <c r="G548" s="1">
        <v>4293</v>
      </c>
      <c r="H548" s="1">
        <v>17.32</v>
      </c>
      <c r="I548" s="1" t="s">
        <v>13</v>
      </c>
      <c r="J548" s="1" t="s">
        <v>17</v>
      </c>
      <c r="K548" s="26">
        <v>1</v>
      </c>
    </row>
    <row r="549" spans="1:11" x14ac:dyDescent="0.25">
      <c r="A549" s="25" t="s">
        <v>15</v>
      </c>
      <c r="B549" s="1" t="s">
        <v>21</v>
      </c>
      <c r="C549" s="2">
        <v>155788</v>
      </c>
      <c r="D549" s="2">
        <v>7439</v>
      </c>
      <c r="E549" s="1">
        <v>452</v>
      </c>
      <c r="F549" s="1">
        <v>2.25</v>
      </c>
      <c r="G549" s="1">
        <v>10447</v>
      </c>
      <c r="H549" s="1">
        <v>19.39</v>
      </c>
      <c r="I549" s="1" t="s">
        <v>23</v>
      </c>
      <c r="J549" s="1" t="s">
        <v>17</v>
      </c>
      <c r="K549" s="26">
        <v>3</v>
      </c>
    </row>
    <row r="550" spans="1:11" x14ac:dyDescent="0.25">
      <c r="A550" s="25" t="s">
        <v>24</v>
      </c>
      <c r="B550" s="1" t="s">
        <v>19</v>
      </c>
      <c r="C550" s="2">
        <v>124099</v>
      </c>
      <c r="D550" s="2">
        <v>23785</v>
      </c>
      <c r="E550" s="1">
        <v>171</v>
      </c>
      <c r="F550" s="1">
        <v>2.36</v>
      </c>
      <c r="G550" s="1">
        <v>16359</v>
      </c>
      <c r="H550" s="1">
        <v>13.75</v>
      </c>
      <c r="I550" s="1" t="s">
        <v>22</v>
      </c>
      <c r="J550" s="1" t="s">
        <v>20</v>
      </c>
      <c r="K550" s="26">
        <v>8</v>
      </c>
    </row>
    <row r="551" spans="1:11" x14ac:dyDescent="0.25">
      <c r="A551" s="25" t="s">
        <v>11</v>
      </c>
      <c r="B551" s="1" t="s">
        <v>27</v>
      </c>
      <c r="C551" s="2">
        <v>21138</v>
      </c>
      <c r="D551" s="2">
        <v>14392</v>
      </c>
      <c r="E551" s="1">
        <v>776</v>
      </c>
      <c r="F551" s="1">
        <v>1.32</v>
      </c>
      <c r="G551" s="1">
        <v>2077</v>
      </c>
      <c r="H551" s="1">
        <v>15.86</v>
      </c>
      <c r="I551" s="1" t="s">
        <v>16</v>
      </c>
      <c r="J551" s="1" t="s">
        <v>20</v>
      </c>
      <c r="K551" s="26">
        <v>9</v>
      </c>
    </row>
    <row r="552" spans="1:11" x14ac:dyDescent="0.25">
      <c r="A552" s="25" t="s">
        <v>18</v>
      </c>
      <c r="B552" s="1" t="s">
        <v>19</v>
      </c>
      <c r="C552" s="2">
        <v>176370</v>
      </c>
      <c r="D552" s="2">
        <v>29669</v>
      </c>
      <c r="E552" s="1">
        <v>263</v>
      </c>
      <c r="F552" s="1">
        <v>2.77</v>
      </c>
      <c r="G552" s="1">
        <v>9988</v>
      </c>
      <c r="H552" s="1">
        <v>1.03</v>
      </c>
      <c r="I552" s="1" t="s">
        <v>23</v>
      </c>
      <c r="J552" s="1" t="s">
        <v>14</v>
      </c>
      <c r="K552" s="26">
        <v>7</v>
      </c>
    </row>
    <row r="553" spans="1:11" x14ac:dyDescent="0.25">
      <c r="A553" s="25" t="s">
        <v>15</v>
      </c>
      <c r="B553" s="1" t="s">
        <v>25</v>
      </c>
      <c r="C553" s="2">
        <v>192184</v>
      </c>
      <c r="D553" s="2">
        <v>29939</v>
      </c>
      <c r="E553" s="1">
        <v>530</v>
      </c>
      <c r="F553" s="1">
        <v>2.04</v>
      </c>
      <c r="G553" s="1">
        <v>19104</v>
      </c>
      <c r="H553" s="1">
        <v>19.170000000000002</v>
      </c>
      <c r="I553" s="1" t="s">
        <v>22</v>
      </c>
      <c r="J553" s="1" t="s">
        <v>17</v>
      </c>
      <c r="K553" s="26">
        <v>7</v>
      </c>
    </row>
    <row r="554" spans="1:11" x14ac:dyDescent="0.25">
      <c r="A554" s="25" t="s">
        <v>18</v>
      </c>
      <c r="B554" s="1" t="s">
        <v>12</v>
      </c>
      <c r="C554" s="2">
        <v>33429</v>
      </c>
      <c r="D554" s="2">
        <v>3282</v>
      </c>
      <c r="E554" s="1">
        <v>986</v>
      </c>
      <c r="F554" s="1">
        <v>2.37</v>
      </c>
      <c r="G554" s="1">
        <v>9664</v>
      </c>
      <c r="H554" s="1">
        <v>2.44</v>
      </c>
      <c r="I554" s="1" t="s">
        <v>23</v>
      </c>
      <c r="J554" s="1" t="s">
        <v>17</v>
      </c>
      <c r="K554" s="26">
        <v>8</v>
      </c>
    </row>
    <row r="555" spans="1:11" x14ac:dyDescent="0.25">
      <c r="A555" s="25" t="s">
        <v>15</v>
      </c>
      <c r="B555" s="1" t="s">
        <v>25</v>
      </c>
      <c r="C555" s="2">
        <v>60200</v>
      </c>
      <c r="D555" s="2">
        <v>35624</v>
      </c>
      <c r="E555" s="1">
        <v>660</v>
      </c>
      <c r="F555" s="1">
        <v>4.34</v>
      </c>
      <c r="G555" s="1">
        <v>1530</v>
      </c>
      <c r="H555" s="1">
        <v>13.05</v>
      </c>
      <c r="I555" s="1" t="s">
        <v>26</v>
      </c>
      <c r="J555" s="1" t="s">
        <v>20</v>
      </c>
      <c r="K555" s="26">
        <v>6</v>
      </c>
    </row>
    <row r="556" spans="1:11" x14ac:dyDescent="0.25">
      <c r="A556" s="25" t="s">
        <v>18</v>
      </c>
      <c r="B556" s="1" t="s">
        <v>27</v>
      </c>
      <c r="C556" s="2">
        <v>189316</v>
      </c>
      <c r="D556" s="2">
        <v>49438</v>
      </c>
      <c r="E556" s="1">
        <v>489</v>
      </c>
      <c r="F556" s="1">
        <v>4.74</v>
      </c>
      <c r="G556" s="1">
        <v>16381</v>
      </c>
      <c r="H556" s="1">
        <v>8.7799999999999994</v>
      </c>
      <c r="I556" s="1" t="s">
        <v>13</v>
      </c>
      <c r="J556" s="1" t="s">
        <v>20</v>
      </c>
      <c r="K556" s="26">
        <v>3</v>
      </c>
    </row>
    <row r="557" spans="1:11" x14ac:dyDescent="0.25">
      <c r="A557" s="25" t="s">
        <v>15</v>
      </c>
      <c r="B557" s="1" t="s">
        <v>21</v>
      </c>
      <c r="C557" s="2">
        <v>111268</v>
      </c>
      <c r="D557" s="2">
        <v>25364</v>
      </c>
      <c r="E557" s="1">
        <v>19</v>
      </c>
      <c r="F557" s="1">
        <v>1.74</v>
      </c>
      <c r="G557" s="1">
        <v>11285</v>
      </c>
      <c r="H557" s="1">
        <v>16.36</v>
      </c>
      <c r="I557" s="1" t="s">
        <v>23</v>
      </c>
      <c r="J557" s="1" t="s">
        <v>17</v>
      </c>
      <c r="K557" s="26">
        <v>1</v>
      </c>
    </row>
    <row r="558" spans="1:11" x14ac:dyDescent="0.25">
      <c r="A558" s="25" t="s">
        <v>15</v>
      </c>
      <c r="B558" s="1" t="s">
        <v>19</v>
      </c>
      <c r="C558" s="2">
        <v>27347</v>
      </c>
      <c r="D558" s="2">
        <v>2998</v>
      </c>
      <c r="E558" s="1">
        <v>735</v>
      </c>
      <c r="F558" s="1">
        <v>2.4900000000000002</v>
      </c>
      <c r="G558" s="1">
        <v>7191</v>
      </c>
      <c r="H558" s="1">
        <v>4</v>
      </c>
      <c r="I558" s="1" t="s">
        <v>22</v>
      </c>
      <c r="J558" s="1" t="s">
        <v>14</v>
      </c>
      <c r="K558" s="26">
        <v>7</v>
      </c>
    </row>
    <row r="559" spans="1:11" x14ac:dyDescent="0.25">
      <c r="A559" s="25" t="s">
        <v>24</v>
      </c>
      <c r="B559" s="1" t="s">
        <v>12</v>
      </c>
      <c r="C559" s="2">
        <v>157992</v>
      </c>
      <c r="D559" s="2">
        <v>32705</v>
      </c>
      <c r="E559" s="1">
        <v>514</v>
      </c>
      <c r="F559" s="1">
        <v>4.71</v>
      </c>
      <c r="G559" s="1">
        <v>17797</v>
      </c>
      <c r="H559" s="1">
        <v>20.75</v>
      </c>
      <c r="I559" s="1" t="s">
        <v>26</v>
      </c>
      <c r="J559" s="1" t="s">
        <v>20</v>
      </c>
      <c r="K559" s="26">
        <v>1</v>
      </c>
    </row>
    <row r="560" spans="1:11" x14ac:dyDescent="0.25">
      <c r="A560" s="25" t="s">
        <v>15</v>
      </c>
      <c r="B560" s="1" t="s">
        <v>19</v>
      </c>
      <c r="C560" s="2">
        <v>41822</v>
      </c>
      <c r="D560" s="2">
        <v>39244</v>
      </c>
      <c r="E560" s="1">
        <v>794</v>
      </c>
      <c r="F560" s="1">
        <v>1.25</v>
      </c>
      <c r="G560" s="1">
        <v>6858</v>
      </c>
      <c r="H560" s="1">
        <v>23.85</v>
      </c>
      <c r="I560" s="1" t="s">
        <v>16</v>
      </c>
      <c r="J560" s="1" t="s">
        <v>17</v>
      </c>
      <c r="K560" s="26">
        <v>1</v>
      </c>
    </row>
    <row r="561" spans="1:11" x14ac:dyDescent="0.25">
      <c r="A561" s="25" t="s">
        <v>24</v>
      </c>
      <c r="B561" s="1" t="s">
        <v>27</v>
      </c>
      <c r="C561" s="2">
        <v>187731</v>
      </c>
      <c r="D561" s="2">
        <v>10428</v>
      </c>
      <c r="E561" s="1">
        <v>845</v>
      </c>
      <c r="F561" s="1">
        <v>1.37</v>
      </c>
      <c r="G561" s="1">
        <v>19065</v>
      </c>
      <c r="H561" s="1">
        <v>4.9000000000000004</v>
      </c>
      <c r="I561" s="1" t="s">
        <v>26</v>
      </c>
      <c r="J561" s="1" t="s">
        <v>17</v>
      </c>
      <c r="K561" s="26">
        <v>9</v>
      </c>
    </row>
    <row r="562" spans="1:11" x14ac:dyDescent="0.25">
      <c r="A562" s="25" t="s">
        <v>15</v>
      </c>
      <c r="B562" s="1" t="s">
        <v>19</v>
      </c>
      <c r="C562" s="2">
        <v>50108</v>
      </c>
      <c r="D562" s="2">
        <v>38437</v>
      </c>
      <c r="E562" s="1">
        <v>569</v>
      </c>
      <c r="F562" s="1">
        <v>1.65</v>
      </c>
      <c r="G562" s="1">
        <v>1962</v>
      </c>
      <c r="H562" s="1">
        <v>3.13</v>
      </c>
      <c r="I562" s="1" t="s">
        <v>13</v>
      </c>
      <c r="J562" s="1" t="s">
        <v>14</v>
      </c>
      <c r="K562" s="26">
        <v>7</v>
      </c>
    </row>
    <row r="563" spans="1:11" x14ac:dyDescent="0.25">
      <c r="A563" s="25" t="s">
        <v>11</v>
      </c>
      <c r="B563" s="1" t="s">
        <v>12</v>
      </c>
      <c r="C563" s="2">
        <v>138955</v>
      </c>
      <c r="D563" s="2">
        <v>13336</v>
      </c>
      <c r="E563" s="1">
        <v>445</v>
      </c>
      <c r="F563" s="1">
        <v>3.38</v>
      </c>
      <c r="G563" s="1">
        <v>16011</v>
      </c>
      <c r="H563" s="1">
        <v>4.37</v>
      </c>
      <c r="I563" s="1" t="s">
        <v>26</v>
      </c>
      <c r="J563" s="1" t="s">
        <v>14</v>
      </c>
      <c r="K563" s="26">
        <v>4</v>
      </c>
    </row>
    <row r="564" spans="1:11" x14ac:dyDescent="0.25">
      <c r="A564" s="25" t="s">
        <v>11</v>
      </c>
      <c r="B564" s="1" t="s">
        <v>27</v>
      </c>
      <c r="C564" s="2">
        <v>17967</v>
      </c>
      <c r="D564" s="2">
        <v>10342</v>
      </c>
      <c r="E564" s="1">
        <v>120</v>
      </c>
      <c r="F564" s="1">
        <v>1.6</v>
      </c>
      <c r="G564" s="1">
        <v>11070</v>
      </c>
      <c r="H564" s="1">
        <v>26.31</v>
      </c>
      <c r="I564" s="1" t="s">
        <v>16</v>
      </c>
      <c r="J564" s="1" t="s">
        <v>20</v>
      </c>
      <c r="K564" s="26">
        <v>6</v>
      </c>
    </row>
    <row r="565" spans="1:11" x14ac:dyDescent="0.25">
      <c r="A565" s="25" t="s">
        <v>11</v>
      </c>
      <c r="B565" s="1" t="s">
        <v>19</v>
      </c>
      <c r="C565" s="2">
        <v>120719</v>
      </c>
      <c r="D565" s="2">
        <v>40832</v>
      </c>
      <c r="E565" s="1">
        <v>162</v>
      </c>
      <c r="F565" s="1">
        <v>4.87</v>
      </c>
      <c r="G565" s="1">
        <v>16397</v>
      </c>
      <c r="H565" s="1">
        <v>15.85</v>
      </c>
      <c r="I565" s="1" t="s">
        <v>22</v>
      </c>
      <c r="J565" s="1" t="s">
        <v>20</v>
      </c>
      <c r="K565" s="26">
        <v>1</v>
      </c>
    </row>
    <row r="566" spans="1:11" x14ac:dyDescent="0.25">
      <c r="A566" s="25" t="s">
        <v>15</v>
      </c>
      <c r="B566" s="1" t="s">
        <v>21</v>
      </c>
      <c r="C566" s="2">
        <v>21871</v>
      </c>
      <c r="D566" s="2">
        <v>8446</v>
      </c>
      <c r="E566" s="1">
        <v>644</v>
      </c>
      <c r="F566" s="1">
        <v>2.79</v>
      </c>
      <c r="G566" s="1">
        <v>12146</v>
      </c>
      <c r="H566" s="1">
        <v>14.02</v>
      </c>
      <c r="I566" s="1" t="s">
        <v>23</v>
      </c>
      <c r="J566" s="1" t="s">
        <v>20</v>
      </c>
      <c r="K566" s="26">
        <v>7</v>
      </c>
    </row>
    <row r="567" spans="1:11" x14ac:dyDescent="0.25">
      <c r="A567" s="25" t="s">
        <v>24</v>
      </c>
      <c r="B567" s="1" t="s">
        <v>27</v>
      </c>
      <c r="C567" s="2">
        <v>174685</v>
      </c>
      <c r="D567" s="2">
        <v>39392</v>
      </c>
      <c r="E567" s="1">
        <v>926</v>
      </c>
      <c r="F567" s="1">
        <v>3.01</v>
      </c>
      <c r="G567" s="1">
        <v>15974</v>
      </c>
      <c r="H567" s="1">
        <v>3.2</v>
      </c>
      <c r="I567" s="1" t="s">
        <v>13</v>
      </c>
      <c r="J567" s="1" t="s">
        <v>17</v>
      </c>
      <c r="K567" s="26">
        <v>6</v>
      </c>
    </row>
    <row r="568" spans="1:11" x14ac:dyDescent="0.25">
      <c r="A568" s="25" t="s">
        <v>24</v>
      </c>
      <c r="B568" s="1" t="s">
        <v>27</v>
      </c>
      <c r="C568" s="2">
        <v>38179</v>
      </c>
      <c r="D568" s="2">
        <v>8461</v>
      </c>
      <c r="E568" s="1">
        <v>878</v>
      </c>
      <c r="F568" s="1">
        <v>1.99</v>
      </c>
      <c r="G568" s="1">
        <v>7537</v>
      </c>
      <c r="H568" s="1">
        <v>19.489999999999998</v>
      </c>
      <c r="I568" s="1" t="s">
        <v>16</v>
      </c>
      <c r="J568" s="1" t="s">
        <v>20</v>
      </c>
      <c r="K568" s="26">
        <v>4</v>
      </c>
    </row>
    <row r="569" spans="1:11" x14ac:dyDescent="0.25">
      <c r="A569" s="25" t="s">
        <v>15</v>
      </c>
      <c r="B569" s="1" t="s">
        <v>21</v>
      </c>
      <c r="C569" s="2">
        <v>193260</v>
      </c>
      <c r="D569" s="2">
        <v>35587</v>
      </c>
      <c r="E569" s="1">
        <v>111</v>
      </c>
      <c r="F569" s="1">
        <v>2.88</v>
      </c>
      <c r="G569" s="1">
        <v>9999</v>
      </c>
      <c r="H569" s="1">
        <v>26.04</v>
      </c>
      <c r="I569" s="1" t="s">
        <v>13</v>
      </c>
      <c r="J569" s="1" t="s">
        <v>17</v>
      </c>
      <c r="K569" s="26">
        <v>7</v>
      </c>
    </row>
    <row r="570" spans="1:11" x14ac:dyDescent="0.25">
      <c r="A570" s="25" t="s">
        <v>11</v>
      </c>
      <c r="B570" s="1" t="s">
        <v>25</v>
      </c>
      <c r="C570" s="2">
        <v>65099</v>
      </c>
      <c r="D570" s="2">
        <v>11516</v>
      </c>
      <c r="E570" s="1">
        <v>762</v>
      </c>
      <c r="F570" s="1">
        <v>3.65</v>
      </c>
      <c r="G570" s="1">
        <v>13886</v>
      </c>
      <c r="H570" s="1">
        <v>24.85</v>
      </c>
      <c r="I570" s="1" t="s">
        <v>26</v>
      </c>
      <c r="J570" s="1" t="s">
        <v>20</v>
      </c>
      <c r="K570" s="26">
        <v>3</v>
      </c>
    </row>
    <row r="571" spans="1:11" x14ac:dyDescent="0.25">
      <c r="A571" s="25" t="s">
        <v>11</v>
      </c>
      <c r="B571" s="1" t="s">
        <v>12</v>
      </c>
      <c r="C571" s="2">
        <v>45262</v>
      </c>
      <c r="D571" s="2">
        <v>14749</v>
      </c>
      <c r="E571" s="1">
        <v>842</v>
      </c>
      <c r="F571" s="1">
        <v>4</v>
      </c>
      <c r="G571" s="1">
        <v>6721</v>
      </c>
      <c r="H571" s="1">
        <v>18.78</v>
      </c>
      <c r="I571" s="1" t="s">
        <v>13</v>
      </c>
      <c r="J571" s="1" t="s">
        <v>14</v>
      </c>
      <c r="K571" s="26">
        <v>1</v>
      </c>
    </row>
    <row r="572" spans="1:11" x14ac:dyDescent="0.25">
      <c r="A572" s="25" t="s">
        <v>24</v>
      </c>
      <c r="B572" s="1" t="s">
        <v>25</v>
      </c>
      <c r="C572" s="2">
        <v>88213</v>
      </c>
      <c r="D572" s="2">
        <v>18514</v>
      </c>
      <c r="E572" s="1">
        <v>200</v>
      </c>
      <c r="F572" s="1">
        <v>4.0199999999999996</v>
      </c>
      <c r="G572" s="1">
        <v>8269</v>
      </c>
      <c r="H572" s="1">
        <v>2.2599999999999998</v>
      </c>
      <c r="I572" s="1" t="s">
        <v>16</v>
      </c>
      <c r="J572" s="1" t="s">
        <v>14</v>
      </c>
      <c r="K572" s="26">
        <v>4</v>
      </c>
    </row>
    <row r="573" spans="1:11" x14ac:dyDescent="0.25">
      <c r="A573" s="25" t="s">
        <v>11</v>
      </c>
      <c r="B573" s="1" t="s">
        <v>19</v>
      </c>
      <c r="C573" s="2">
        <v>127407</v>
      </c>
      <c r="D573" s="2">
        <v>36426</v>
      </c>
      <c r="E573" s="1">
        <v>738</v>
      </c>
      <c r="F573" s="1">
        <v>3.31</v>
      </c>
      <c r="G573" s="1">
        <v>17571</v>
      </c>
      <c r="H573" s="1">
        <v>3.37</v>
      </c>
      <c r="I573" s="1" t="s">
        <v>23</v>
      </c>
      <c r="J573" s="1" t="s">
        <v>17</v>
      </c>
      <c r="K573" s="26">
        <v>3</v>
      </c>
    </row>
    <row r="574" spans="1:11" x14ac:dyDescent="0.25">
      <c r="A574" s="25" t="s">
        <v>18</v>
      </c>
      <c r="B574" s="1" t="s">
        <v>21</v>
      </c>
      <c r="C574" s="2">
        <v>159340</v>
      </c>
      <c r="D574" s="2">
        <v>37268</v>
      </c>
      <c r="E574" s="1">
        <v>572</v>
      </c>
      <c r="F574" s="1">
        <v>4.62</v>
      </c>
      <c r="G574" s="1">
        <v>14856</v>
      </c>
      <c r="H574" s="1">
        <v>1.48</v>
      </c>
      <c r="I574" s="1" t="s">
        <v>23</v>
      </c>
      <c r="J574" s="1" t="s">
        <v>14</v>
      </c>
      <c r="K574" s="26">
        <v>1</v>
      </c>
    </row>
    <row r="575" spans="1:11" x14ac:dyDescent="0.25">
      <c r="A575" s="25" t="s">
        <v>24</v>
      </c>
      <c r="B575" s="1" t="s">
        <v>25</v>
      </c>
      <c r="C575" s="2">
        <v>96269</v>
      </c>
      <c r="D575" s="2">
        <v>25950</v>
      </c>
      <c r="E575" s="1">
        <v>813</v>
      </c>
      <c r="F575" s="1">
        <v>4.2699999999999996</v>
      </c>
      <c r="G575" s="1">
        <v>18778</v>
      </c>
      <c r="H575" s="1">
        <v>7.72</v>
      </c>
      <c r="I575" s="1" t="s">
        <v>13</v>
      </c>
      <c r="J575" s="1" t="s">
        <v>17</v>
      </c>
      <c r="K575" s="26">
        <v>2</v>
      </c>
    </row>
    <row r="576" spans="1:11" x14ac:dyDescent="0.25">
      <c r="A576" s="25" t="s">
        <v>11</v>
      </c>
      <c r="B576" s="1" t="s">
        <v>27</v>
      </c>
      <c r="C576" s="2">
        <v>70545</v>
      </c>
      <c r="D576" s="2">
        <v>35888</v>
      </c>
      <c r="E576" s="1">
        <v>90</v>
      </c>
      <c r="F576" s="1">
        <v>4.03</v>
      </c>
      <c r="G576" s="1">
        <v>7889</v>
      </c>
      <c r="H576" s="1">
        <v>4.07</v>
      </c>
      <c r="I576" s="1" t="s">
        <v>22</v>
      </c>
      <c r="J576" s="1" t="s">
        <v>17</v>
      </c>
      <c r="K576" s="26">
        <v>5</v>
      </c>
    </row>
    <row r="577" spans="1:11" x14ac:dyDescent="0.25">
      <c r="A577" s="25" t="s">
        <v>24</v>
      </c>
      <c r="B577" s="1" t="s">
        <v>19</v>
      </c>
      <c r="C577" s="2">
        <v>49922</v>
      </c>
      <c r="D577" s="2">
        <v>37788</v>
      </c>
      <c r="E577" s="1">
        <v>498</v>
      </c>
      <c r="F577" s="1">
        <v>1.22</v>
      </c>
      <c r="G577" s="1">
        <v>5422</v>
      </c>
      <c r="H577" s="1">
        <v>7.8</v>
      </c>
      <c r="I577" s="1" t="s">
        <v>13</v>
      </c>
      <c r="J577" s="1" t="s">
        <v>14</v>
      </c>
      <c r="K577" s="26">
        <v>8</v>
      </c>
    </row>
    <row r="578" spans="1:11" x14ac:dyDescent="0.25">
      <c r="A578" s="25" t="s">
        <v>18</v>
      </c>
      <c r="B578" s="1" t="s">
        <v>19</v>
      </c>
      <c r="C578" s="2">
        <v>52913</v>
      </c>
      <c r="D578" s="2">
        <v>11213</v>
      </c>
      <c r="E578" s="1">
        <v>904</v>
      </c>
      <c r="F578" s="1">
        <v>1.03</v>
      </c>
      <c r="G578" s="1">
        <v>14139</v>
      </c>
      <c r="H578" s="1">
        <v>11.55</v>
      </c>
      <c r="I578" s="1" t="s">
        <v>26</v>
      </c>
      <c r="J578" s="1" t="s">
        <v>17</v>
      </c>
      <c r="K578" s="26">
        <v>1</v>
      </c>
    </row>
    <row r="579" spans="1:11" x14ac:dyDescent="0.25">
      <c r="A579" s="25" t="s">
        <v>24</v>
      </c>
      <c r="B579" s="1" t="s">
        <v>25</v>
      </c>
      <c r="C579" s="2">
        <v>107033</v>
      </c>
      <c r="D579" s="2">
        <v>37027</v>
      </c>
      <c r="E579" s="1">
        <v>97</v>
      </c>
      <c r="F579" s="1">
        <v>1.85</v>
      </c>
      <c r="G579" s="1">
        <v>10503</v>
      </c>
      <c r="H579" s="1">
        <v>28.29</v>
      </c>
      <c r="I579" s="1" t="s">
        <v>23</v>
      </c>
      <c r="J579" s="1" t="s">
        <v>14</v>
      </c>
      <c r="K579" s="26">
        <v>4</v>
      </c>
    </row>
    <row r="580" spans="1:11" x14ac:dyDescent="0.25">
      <c r="A580" s="25" t="s">
        <v>24</v>
      </c>
      <c r="B580" s="1" t="s">
        <v>25</v>
      </c>
      <c r="C580" s="2">
        <v>114792</v>
      </c>
      <c r="D580" s="2">
        <v>29011</v>
      </c>
      <c r="E580" s="1">
        <v>203</v>
      </c>
      <c r="F580" s="1">
        <v>3.65</v>
      </c>
      <c r="G580" s="1">
        <v>5678</v>
      </c>
      <c r="H580" s="1">
        <v>18.309999999999999</v>
      </c>
      <c r="I580" s="1" t="s">
        <v>23</v>
      </c>
      <c r="J580" s="1" t="s">
        <v>20</v>
      </c>
      <c r="K580" s="26">
        <v>4</v>
      </c>
    </row>
    <row r="581" spans="1:11" x14ac:dyDescent="0.25">
      <c r="A581" s="25" t="s">
        <v>24</v>
      </c>
      <c r="B581" s="1" t="s">
        <v>21</v>
      </c>
      <c r="C581" s="2">
        <v>196749</v>
      </c>
      <c r="D581" s="2">
        <v>43849</v>
      </c>
      <c r="E581" s="1">
        <v>113</v>
      </c>
      <c r="F581" s="1">
        <v>2.64</v>
      </c>
      <c r="G581" s="1">
        <v>15740</v>
      </c>
      <c r="H581" s="1">
        <v>25.05</v>
      </c>
      <c r="I581" s="1" t="s">
        <v>23</v>
      </c>
      <c r="J581" s="1" t="s">
        <v>20</v>
      </c>
      <c r="K581" s="26">
        <v>5</v>
      </c>
    </row>
    <row r="582" spans="1:11" x14ac:dyDescent="0.25">
      <c r="A582" s="25" t="s">
        <v>24</v>
      </c>
      <c r="B582" s="1" t="s">
        <v>12</v>
      </c>
      <c r="C582" s="2">
        <v>190913</v>
      </c>
      <c r="D582" s="2">
        <v>35591</v>
      </c>
      <c r="E582" s="1">
        <v>792</v>
      </c>
      <c r="F582" s="1">
        <v>2.61</v>
      </c>
      <c r="G582" s="1">
        <v>4468</v>
      </c>
      <c r="H582" s="1">
        <v>21.31</v>
      </c>
      <c r="I582" s="1" t="s">
        <v>22</v>
      </c>
      <c r="J582" s="1" t="s">
        <v>14</v>
      </c>
      <c r="K582" s="26">
        <v>7</v>
      </c>
    </row>
    <row r="583" spans="1:11" x14ac:dyDescent="0.25">
      <c r="A583" s="25" t="s">
        <v>18</v>
      </c>
      <c r="B583" s="1" t="s">
        <v>25</v>
      </c>
      <c r="C583" s="2">
        <v>187404</v>
      </c>
      <c r="D583" s="2">
        <v>18858</v>
      </c>
      <c r="E583" s="1">
        <v>105</v>
      </c>
      <c r="F583" s="1">
        <v>4.54</v>
      </c>
      <c r="G583" s="1">
        <v>3216</v>
      </c>
      <c r="H583" s="1">
        <v>3.38</v>
      </c>
      <c r="I583" s="1" t="s">
        <v>22</v>
      </c>
      <c r="J583" s="1" t="s">
        <v>14</v>
      </c>
      <c r="K583" s="26">
        <v>8</v>
      </c>
    </row>
    <row r="584" spans="1:11" x14ac:dyDescent="0.25">
      <c r="A584" s="25" t="s">
        <v>15</v>
      </c>
      <c r="B584" s="1" t="s">
        <v>25</v>
      </c>
      <c r="C584" s="2">
        <v>129863</v>
      </c>
      <c r="D584" s="2">
        <v>19626</v>
      </c>
      <c r="E584" s="1">
        <v>432</v>
      </c>
      <c r="F584" s="1">
        <v>4.58</v>
      </c>
      <c r="G584" s="1">
        <v>17074</v>
      </c>
      <c r="H584" s="1">
        <v>22.08</v>
      </c>
      <c r="I584" s="1" t="s">
        <v>16</v>
      </c>
      <c r="J584" s="1" t="s">
        <v>14</v>
      </c>
      <c r="K584" s="26">
        <v>6</v>
      </c>
    </row>
    <row r="585" spans="1:11" x14ac:dyDescent="0.25">
      <c r="A585" s="25" t="s">
        <v>24</v>
      </c>
      <c r="B585" s="1" t="s">
        <v>27</v>
      </c>
      <c r="C585" s="2">
        <v>166104</v>
      </c>
      <c r="D585" s="2">
        <v>14467</v>
      </c>
      <c r="E585" s="1">
        <v>900</v>
      </c>
      <c r="F585" s="1">
        <v>4.6399999999999997</v>
      </c>
      <c r="G585" s="1">
        <v>14011</v>
      </c>
      <c r="H585" s="1">
        <v>8.25</v>
      </c>
      <c r="I585" s="1" t="s">
        <v>13</v>
      </c>
      <c r="J585" s="1" t="s">
        <v>14</v>
      </c>
      <c r="K585" s="26">
        <v>1</v>
      </c>
    </row>
    <row r="586" spans="1:11" x14ac:dyDescent="0.25">
      <c r="A586" s="25" t="s">
        <v>24</v>
      </c>
      <c r="B586" s="1" t="s">
        <v>19</v>
      </c>
      <c r="C586" s="2">
        <v>178918</v>
      </c>
      <c r="D586" s="2">
        <v>40758</v>
      </c>
      <c r="E586" s="1">
        <v>207</v>
      </c>
      <c r="F586" s="1">
        <v>2.2599999999999998</v>
      </c>
      <c r="G586" s="1">
        <v>18219</v>
      </c>
      <c r="H586" s="1">
        <v>19.170000000000002</v>
      </c>
      <c r="I586" s="1" t="s">
        <v>13</v>
      </c>
      <c r="J586" s="1" t="s">
        <v>20</v>
      </c>
      <c r="K586" s="26">
        <v>7</v>
      </c>
    </row>
    <row r="587" spans="1:11" x14ac:dyDescent="0.25">
      <c r="A587" s="25" t="s">
        <v>11</v>
      </c>
      <c r="B587" s="1" t="s">
        <v>12</v>
      </c>
      <c r="C587" s="2">
        <v>54936</v>
      </c>
      <c r="D587" s="2">
        <v>4134</v>
      </c>
      <c r="E587" s="1">
        <v>10</v>
      </c>
      <c r="F587" s="1">
        <v>3.76</v>
      </c>
      <c r="G587" s="1">
        <v>8681</v>
      </c>
      <c r="H587" s="1">
        <v>10.23</v>
      </c>
      <c r="I587" s="1" t="s">
        <v>26</v>
      </c>
      <c r="J587" s="1" t="s">
        <v>17</v>
      </c>
      <c r="K587" s="26">
        <v>3</v>
      </c>
    </row>
    <row r="588" spans="1:11" x14ac:dyDescent="0.25">
      <c r="A588" s="25" t="s">
        <v>24</v>
      </c>
      <c r="B588" s="1" t="s">
        <v>27</v>
      </c>
      <c r="C588" s="2">
        <v>170866</v>
      </c>
      <c r="D588" s="2">
        <v>17743</v>
      </c>
      <c r="E588" s="1">
        <v>416</v>
      </c>
      <c r="F588" s="1">
        <v>2.09</v>
      </c>
      <c r="G588" s="1">
        <v>13495</v>
      </c>
      <c r="H588" s="1">
        <v>29.93</v>
      </c>
      <c r="I588" s="1" t="s">
        <v>23</v>
      </c>
      <c r="J588" s="1" t="s">
        <v>17</v>
      </c>
      <c r="K588" s="26">
        <v>6</v>
      </c>
    </row>
    <row r="589" spans="1:11" x14ac:dyDescent="0.25">
      <c r="A589" s="25" t="s">
        <v>11</v>
      </c>
      <c r="B589" s="1" t="s">
        <v>21</v>
      </c>
      <c r="C589" s="2">
        <v>191403</v>
      </c>
      <c r="D589" s="2">
        <v>16434</v>
      </c>
      <c r="E589" s="1">
        <v>387</v>
      </c>
      <c r="F589" s="1">
        <v>1.76</v>
      </c>
      <c r="G589" s="1">
        <v>11798</v>
      </c>
      <c r="H589" s="1">
        <v>7.91</v>
      </c>
      <c r="I589" s="1" t="s">
        <v>22</v>
      </c>
      <c r="J589" s="1" t="s">
        <v>20</v>
      </c>
      <c r="K589" s="26">
        <v>8</v>
      </c>
    </row>
    <row r="590" spans="1:11" x14ac:dyDescent="0.25">
      <c r="A590" s="25" t="s">
        <v>15</v>
      </c>
      <c r="B590" s="1" t="s">
        <v>21</v>
      </c>
      <c r="C590" s="2">
        <v>38141</v>
      </c>
      <c r="D590" s="2">
        <v>48775</v>
      </c>
      <c r="E590" s="1">
        <v>176</v>
      </c>
      <c r="F590" s="1">
        <v>1.74</v>
      </c>
      <c r="G590" s="1">
        <v>17262</v>
      </c>
      <c r="H590" s="1">
        <v>8.3699999999999992</v>
      </c>
      <c r="I590" s="1" t="s">
        <v>26</v>
      </c>
      <c r="J590" s="1" t="s">
        <v>17</v>
      </c>
      <c r="K590" s="26">
        <v>7</v>
      </c>
    </row>
    <row r="591" spans="1:11" x14ac:dyDescent="0.25">
      <c r="A591" s="25" t="s">
        <v>18</v>
      </c>
      <c r="B591" s="1" t="s">
        <v>25</v>
      </c>
      <c r="C591" s="2">
        <v>150146</v>
      </c>
      <c r="D591" s="2">
        <v>11233</v>
      </c>
      <c r="E591" s="1">
        <v>518</v>
      </c>
      <c r="F591" s="1">
        <v>2.37</v>
      </c>
      <c r="G591" s="1">
        <v>6880</v>
      </c>
      <c r="H591" s="1">
        <v>27.92</v>
      </c>
      <c r="I591" s="1" t="s">
        <v>26</v>
      </c>
      <c r="J591" s="1" t="s">
        <v>20</v>
      </c>
      <c r="K591" s="26">
        <v>6</v>
      </c>
    </row>
    <row r="592" spans="1:11" x14ac:dyDescent="0.25">
      <c r="A592" s="25" t="s">
        <v>18</v>
      </c>
      <c r="B592" s="1" t="s">
        <v>25</v>
      </c>
      <c r="C592" s="2">
        <v>147478</v>
      </c>
      <c r="D592" s="2">
        <v>2141</v>
      </c>
      <c r="E592" s="1">
        <v>647</v>
      </c>
      <c r="F592" s="1">
        <v>2.72</v>
      </c>
      <c r="G592" s="1">
        <v>1115</v>
      </c>
      <c r="H592" s="1">
        <v>0.74</v>
      </c>
      <c r="I592" s="1" t="s">
        <v>22</v>
      </c>
      <c r="J592" s="1" t="s">
        <v>17</v>
      </c>
      <c r="K592" s="26">
        <v>9</v>
      </c>
    </row>
    <row r="593" spans="1:11" x14ac:dyDescent="0.25">
      <c r="A593" s="25" t="s">
        <v>15</v>
      </c>
      <c r="B593" s="1" t="s">
        <v>21</v>
      </c>
      <c r="C593" s="2">
        <v>107359</v>
      </c>
      <c r="D593" s="2">
        <v>19019</v>
      </c>
      <c r="E593" s="1">
        <v>322</v>
      </c>
      <c r="F593" s="1">
        <v>4.32</v>
      </c>
      <c r="G593" s="1">
        <v>19214</v>
      </c>
      <c r="H593" s="1">
        <v>20.9</v>
      </c>
      <c r="I593" s="1" t="s">
        <v>13</v>
      </c>
      <c r="J593" s="1" t="s">
        <v>14</v>
      </c>
      <c r="K593" s="26">
        <v>9</v>
      </c>
    </row>
    <row r="594" spans="1:11" x14ac:dyDescent="0.25">
      <c r="A594" s="25" t="s">
        <v>18</v>
      </c>
      <c r="B594" s="1" t="s">
        <v>25</v>
      </c>
      <c r="C594" s="2">
        <v>133279</v>
      </c>
      <c r="D594" s="2">
        <v>21384</v>
      </c>
      <c r="E594" s="1">
        <v>602</v>
      </c>
      <c r="F594" s="1">
        <v>1.48</v>
      </c>
      <c r="G594" s="1">
        <v>18638</v>
      </c>
      <c r="H594" s="1">
        <v>21.76</v>
      </c>
      <c r="I594" s="1" t="s">
        <v>23</v>
      </c>
      <c r="J594" s="1" t="s">
        <v>14</v>
      </c>
      <c r="K594" s="26">
        <v>1</v>
      </c>
    </row>
    <row r="595" spans="1:11" x14ac:dyDescent="0.25">
      <c r="A595" s="25" t="s">
        <v>15</v>
      </c>
      <c r="B595" s="1" t="s">
        <v>12</v>
      </c>
      <c r="C595" s="2">
        <v>164363</v>
      </c>
      <c r="D595" s="2">
        <v>43903</v>
      </c>
      <c r="E595" s="1">
        <v>427</v>
      </c>
      <c r="F595" s="1">
        <v>3.94</v>
      </c>
      <c r="G595" s="1">
        <v>963</v>
      </c>
      <c r="H595" s="1">
        <v>25.09</v>
      </c>
      <c r="I595" s="1" t="s">
        <v>13</v>
      </c>
      <c r="J595" s="1" t="s">
        <v>14</v>
      </c>
      <c r="K595" s="26">
        <v>1</v>
      </c>
    </row>
    <row r="596" spans="1:11" x14ac:dyDescent="0.25">
      <c r="A596" s="25" t="s">
        <v>15</v>
      </c>
      <c r="B596" s="1" t="s">
        <v>25</v>
      </c>
      <c r="C596" s="2">
        <v>51568</v>
      </c>
      <c r="D596" s="2">
        <v>46734</v>
      </c>
      <c r="E596" s="1">
        <v>772</v>
      </c>
      <c r="F596" s="1">
        <v>3.13</v>
      </c>
      <c r="G596" s="1">
        <v>9658</v>
      </c>
      <c r="H596" s="1">
        <v>29.23</v>
      </c>
      <c r="I596" s="1" t="s">
        <v>26</v>
      </c>
      <c r="J596" s="1" t="s">
        <v>20</v>
      </c>
      <c r="K596" s="26">
        <v>1</v>
      </c>
    </row>
    <row r="597" spans="1:11" x14ac:dyDescent="0.25">
      <c r="A597" s="25" t="s">
        <v>15</v>
      </c>
      <c r="B597" s="1" t="s">
        <v>19</v>
      </c>
      <c r="C597" s="2">
        <v>107539</v>
      </c>
      <c r="D597" s="2">
        <v>37129</v>
      </c>
      <c r="E597" s="1">
        <v>690</v>
      </c>
      <c r="F597" s="1">
        <v>2.15</v>
      </c>
      <c r="G597" s="1">
        <v>3658</v>
      </c>
      <c r="H597" s="1">
        <v>29.27</v>
      </c>
      <c r="I597" s="1" t="s">
        <v>23</v>
      </c>
      <c r="J597" s="1" t="s">
        <v>20</v>
      </c>
      <c r="K597" s="26">
        <v>8</v>
      </c>
    </row>
    <row r="598" spans="1:11" x14ac:dyDescent="0.25">
      <c r="A598" s="25" t="s">
        <v>18</v>
      </c>
      <c r="B598" s="1" t="s">
        <v>25</v>
      </c>
      <c r="C598" s="2">
        <v>56851</v>
      </c>
      <c r="D598" s="2">
        <v>23967</v>
      </c>
      <c r="E598" s="1">
        <v>486</v>
      </c>
      <c r="F598" s="1">
        <v>2.97</v>
      </c>
      <c r="G598" s="1">
        <v>13934</v>
      </c>
      <c r="H598" s="1">
        <v>1.96</v>
      </c>
      <c r="I598" s="1" t="s">
        <v>16</v>
      </c>
      <c r="J598" s="1" t="s">
        <v>17</v>
      </c>
      <c r="K598" s="26">
        <v>7</v>
      </c>
    </row>
    <row r="599" spans="1:11" x14ac:dyDescent="0.25">
      <c r="A599" s="25" t="s">
        <v>11</v>
      </c>
      <c r="B599" s="1" t="s">
        <v>27</v>
      </c>
      <c r="C599" s="2">
        <v>64823</v>
      </c>
      <c r="D599" s="2">
        <v>41603</v>
      </c>
      <c r="E599" s="1">
        <v>82</v>
      </c>
      <c r="F599" s="1">
        <v>2.2000000000000002</v>
      </c>
      <c r="G599" s="1">
        <v>5438</v>
      </c>
      <c r="H599" s="1">
        <v>24.66</v>
      </c>
      <c r="I599" s="1" t="s">
        <v>26</v>
      </c>
      <c r="J599" s="1" t="s">
        <v>17</v>
      </c>
      <c r="K599" s="26">
        <v>3</v>
      </c>
    </row>
    <row r="600" spans="1:11" x14ac:dyDescent="0.25">
      <c r="A600" s="25" t="s">
        <v>15</v>
      </c>
      <c r="B600" s="1" t="s">
        <v>12</v>
      </c>
      <c r="C600" s="2">
        <v>33312</v>
      </c>
      <c r="D600" s="2">
        <v>12172</v>
      </c>
      <c r="E600" s="1">
        <v>150</v>
      </c>
      <c r="F600" s="1">
        <v>3.38</v>
      </c>
      <c r="G600" s="1">
        <v>5917</v>
      </c>
      <c r="H600" s="1">
        <v>19.39</v>
      </c>
      <c r="I600" s="1" t="s">
        <v>13</v>
      </c>
      <c r="J600" s="1" t="s">
        <v>17</v>
      </c>
      <c r="K600" s="26">
        <v>2</v>
      </c>
    </row>
    <row r="601" spans="1:11" x14ac:dyDescent="0.25">
      <c r="A601" s="25" t="s">
        <v>24</v>
      </c>
      <c r="B601" s="1" t="s">
        <v>27</v>
      </c>
      <c r="C601" s="2">
        <v>184180</v>
      </c>
      <c r="D601" s="2">
        <v>17390</v>
      </c>
      <c r="E601" s="1">
        <v>591</v>
      </c>
      <c r="F601" s="1">
        <v>2.74</v>
      </c>
      <c r="G601" s="1">
        <v>9381</v>
      </c>
      <c r="H601" s="1">
        <v>19.420000000000002</v>
      </c>
      <c r="I601" s="1" t="s">
        <v>13</v>
      </c>
      <c r="J601" s="1" t="s">
        <v>20</v>
      </c>
      <c r="K601" s="26">
        <v>4</v>
      </c>
    </row>
    <row r="602" spans="1:11" x14ac:dyDescent="0.25">
      <c r="A602" s="25" t="s">
        <v>18</v>
      </c>
      <c r="B602" s="1" t="s">
        <v>27</v>
      </c>
      <c r="C602" s="2">
        <v>175243</v>
      </c>
      <c r="D602" s="2">
        <v>4267</v>
      </c>
      <c r="E602" s="1">
        <v>271</v>
      </c>
      <c r="F602" s="1">
        <v>1.66</v>
      </c>
      <c r="G602" s="1">
        <v>6103</v>
      </c>
      <c r="H602" s="1">
        <v>3.85</v>
      </c>
      <c r="I602" s="1" t="s">
        <v>13</v>
      </c>
      <c r="J602" s="1" t="s">
        <v>17</v>
      </c>
      <c r="K602" s="26">
        <v>3</v>
      </c>
    </row>
    <row r="603" spans="1:11" x14ac:dyDescent="0.25">
      <c r="A603" s="25" t="s">
        <v>15</v>
      </c>
      <c r="B603" s="1" t="s">
        <v>19</v>
      </c>
      <c r="C603" s="2">
        <v>182851</v>
      </c>
      <c r="D603" s="2">
        <v>40332</v>
      </c>
      <c r="E603" s="1">
        <v>349</v>
      </c>
      <c r="F603" s="1">
        <v>1.47</v>
      </c>
      <c r="G603" s="1">
        <v>2712</v>
      </c>
      <c r="H603" s="1">
        <v>19.510000000000002</v>
      </c>
      <c r="I603" s="1" t="s">
        <v>22</v>
      </c>
      <c r="J603" s="1" t="s">
        <v>14</v>
      </c>
      <c r="K603" s="26">
        <v>7</v>
      </c>
    </row>
    <row r="604" spans="1:11" x14ac:dyDescent="0.25">
      <c r="A604" s="25" t="s">
        <v>15</v>
      </c>
      <c r="B604" s="1" t="s">
        <v>12</v>
      </c>
      <c r="C604" s="2">
        <v>108723</v>
      </c>
      <c r="D604" s="2">
        <v>27167</v>
      </c>
      <c r="E604" s="1">
        <v>317</v>
      </c>
      <c r="F604" s="1">
        <v>3.19</v>
      </c>
      <c r="G604" s="1">
        <v>17266</v>
      </c>
      <c r="H604" s="1">
        <v>29.47</v>
      </c>
      <c r="I604" s="1" t="s">
        <v>26</v>
      </c>
      <c r="J604" s="1" t="s">
        <v>17</v>
      </c>
      <c r="K604" s="26">
        <v>8</v>
      </c>
    </row>
    <row r="605" spans="1:11" x14ac:dyDescent="0.25">
      <c r="A605" s="25" t="s">
        <v>24</v>
      </c>
      <c r="B605" s="1" t="s">
        <v>12</v>
      </c>
      <c r="C605" s="2">
        <v>22411</v>
      </c>
      <c r="D605" s="2">
        <v>22312</v>
      </c>
      <c r="E605" s="1">
        <v>254</v>
      </c>
      <c r="F605" s="1">
        <v>4.6100000000000003</v>
      </c>
      <c r="G605" s="1">
        <v>19140</v>
      </c>
      <c r="H605" s="1">
        <v>27.35</v>
      </c>
      <c r="I605" s="1" t="s">
        <v>23</v>
      </c>
      <c r="J605" s="1" t="s">
        <v>14</v>
      </c>
      <c r="K605" s="26">
        <v>6</v>
      </c>
    </row>
    <row r="606" spans="1:11" x14ac:dyDescent="0.25">
      <c r="A606" s="25" t="s">
        <v>11</v>
      </c>
      <c r="B606" s="1" t="s">
        <v>12</v>
      </c>
      <c r="C606" s="2">
        <v>67009</v>
      </c>
      <c r="D606" s="2">
        <v>28840</v>
      </c>
      <c r="E606" s="1">
        <v>524</v>
      </c>
      <c r="F606" s="1">
        <v>2.38</v>
      </c>
      <c r="G606" s="1">
        <v>12195</v>
      </c>
      <c r="H606" s="1">
        <v>13.17</v>
      </c>
      <c r="I606" s="1" t="s">
        <v>13</v>
      </c>
      <c r="J606" s="1" t="s">
        <v>20</v>
      </c>
      <c r="K606" s="26">
        <v>3</v>
      </c>
    </row>
    <row r="607" spans="1:11" x14ac:dyDescent="0.25">
      <c r="A607" s="25" t="s">
        <v>11</v>
      </c>
      <c r="B607" s="1" t="s">
        <v>12</v>
      </c>
      <c r="C607" s="2">
        <v>156494</v>
      </c>
      <c r="D607" s="2">
        <v>19990</v>
      </c>
      <c r="E607" s="1">
        <v>346</v>
      </c>
      <c r="F607" s="1">
        <v>3.93</v>
      </c>
      <c r="G607" s="1">
        <v>18296</v>
      </c>
      <c r="H607" s="1">
        <v>1.2</v>
      </c>
      <c r="I607" s="1" t="s">
        <v>13</v>
      </c>
      <c r="J607" s="1" t="s">
        <v>14</v>
      </c>
      <c r="K607" s="26">
        <v>6</v>
      </c>
    </row>
    <row r="608" spans="1:11" x14ac:dyDescent="0.25">
      <c r="A608" s="25" t="s">
        <v>11</v>
      </c>
      <c r="B608" s="1" t="s">
        <v>12</v>
      </c>
      <c r="C608" s="2">
        <v>183540</v>
      </c>
      <c r="D608" s="2">
        <v>45179</v>
      </c>
      <c r="E608" s="1">
        <v>584</v>
      </c>
      <c r="F608" s="1">
        <v>3.63</v>
      </c>
      <c r="G608" s="1">
        <v>10275</v>
      </c>
      <c r="H608" s="1">
        <v>10.87</v>
      </c>
      <c r="I608" s="1" t="s">
        <v>22</v>
      </c>
      <c r="J608" s="1" t="s">
        <v>14</v>
      </c>
      <c r="K608" s="26">
        <v>2</v>
      </c>
    </row>
    <row r="609" spans="1:11" x14ac:dyDescent="0.25">
      <c r="A609" s="25" t="s">
        <v>15</v>
      </c>
      <c r="B609" s="1" t="s">
        <v>19</v>
      </c>
      <c r="C609" s="2">
        <v>42371</v>
      </c>
      <c r="D609" s="2">
        <v>6906</v>
      </c>
      <c r="E609" s="1">
        <v>570</v>
      </c>
      <c r="F609" s="1">
        <v>4.7300000000000004</v>
      </c>
      <c r="G609" s="1">
        <v>15059</v>
      </c>
      <c r="H609" s="1">
        <v>24.79</v>
      </c>
      <c r="I609" s="1" t="s">
        <v>23</v>
      </c>
      <c r="J609" s="1" t="s">
        <v>14</v>
      </c>
      <c r="K609" s="26">
        <v>7</v>
      </c>
    </row>
    <row r="610" spans="1:11" x14ac:dyDescent="0.25">
      <c r="A610" s="25" t="s">
        <v>15</v>
      </c>
      <c r="B610" s="1" t="s">
        <v>25</v>
      </c>
      <c r="C610" s="2">
        <v>67022</v>
      </c>
      <c r="D610" s="2">
        <v>49796</v>
      </c>
      <c r="E610" s="1">
        <v>85</v>
      </c>
      <c r="F610" s="1">
        <v>4.28</v>
      </c>
      <c r="G610" s="1">
        <v>6646</v>
      </c>
      <c r="H610" s="1">
        <v>21.04</v>
      </c>
      <c r="I610" s="1" t="s">
        <v>26</v>
      </c>
      <c r="J610" s="1" t="s">
        <v>20</v>
      </c>
      <c r="K610" s="26">
        <v>7</v>
      </c>
    </row>
    <row r="611" spans="1:11" x14ac:dyDescent="0.25">
      <c r="A611" s="25" t="s">
        <v>15</v>
      </c>
      <c r="B611" s="1" t="s">
        <v>27</v>
      </c>
      <c r="C611" s="2">
        <v>81229</v>
      </c>
      <c r="D611" s="2">
        <v>41379</v>
      </c>
      <c r="E611" s="1">
        <v>889</v>
      </c>
      <c r="F611" s="1">
        <v>3.27</v>
      </c>
      <c r="G611" s="1">
        <v>871</v>
      </c>
      <c r="H611" s="1">
        <v>13.78</v>
      </c>
      <c r="I611" s="1" t="s">
        <v>16</v>
      </c>
      <c r="J611" s="1" t="s">
        <v>20</v>
      </c>
      <c r="K611" s="26">
        <v>4</v>
      </c>
    </row>
    <row r="612" spans="1:11" x14ac:dyDescent="0.25">
      <c r="A612" s="25" t="s">
        <v>18</v>
      </c>
      <c r="B612" s="1" t="s">
        <v>12</v>
      </c>
      <c r="C612" s="2">
        <v>109071</v>
      </c>
      <c r="D612" s="2">
        <v>18297</v>
      </c>
      <c r="E612" s="1">
        <v>184</v>
      </c>
      <c r="F612" s="1">
        <v>3.63</v>
      </c>
      <c r="G612" s="1">
        <v>6065</v>
      </c>
      <c r="H612" s="1">
        <v>1.65</v>
      </c>
      <c r="I612" s="1" t="s">
        <v>22</v>
      </c>
      <c r="J612" s="1" t="s">
        <v>20</v>
      </c>
      <c r="K612" s="26">
        <v>8</v>
      </c>
    </row>
    <row r="613" spans="1:11" x14ac:dyDescent="0.25">
      <c r="A613" s="25" t="s">
        <v>24</v>
      </c>
      <c r="B613" s="1" t="s">
        <v>25</v>
      </c>
      <c r="C613" s="2">
        <v>192268</v>
      </c>
      <c r="D613" s="2">
        <v>3011</v>
      </c>
      <c r="E613" s="1">
        <v>118</v>
      </c>
      <c r="F613" s="1">
        <v>4.59</v>
      </c>
      <c r="G613" s="1">
        <v>9302</v>
      </c>
      <c r="H613" s="1">
        <v>12.81</v>
      </c>
      <c r="I613" s="1" t="s">
        <v>26</v>
      </c>
      <c r="J613" s="1" t="s">
        <v>20</v>
      </c>
      <c r="K613" s="26">
        <v>4</v>
      </c>
    </row>
    <row r="614" spans="1:11" x14ac:dyDescent="0.25">
      <c r="A614" s="25" t="s">
        <v>15</v>
      </c>
      <c r="B614" s="1" t="s">
        <v>25</v>
      </c>
      <c r="C614" s="2">
        <v>106774</v>
      </c>
      <c r="D614" s="2">
        <v>45014</v>
      </c>
      <c r="E614" s="1">
        <v>192</v>
      </c>
      <c r="F614" s="1">
        <v>2.6</v>
      </c>
      <c r="G614" s="1">
        <v>8807</v>
      </c>
      <c r="H614" s="1">
        <v>14.07</v>
      </c>
      <c r="I614" s="1" t="s">
        <v>16</v>
      </c>
      <c r="J614" s="1" t="s">
        <v>17</v>
      </c>
      <c r="K614" s="26">
        <v>7</v>
      </c>
    </row>
    <row r="615" spans="1:11" x14ac:dyDescent="0.25">
      <c r="A615" s="25" t="s">
        <v>24</v>
      </c>
      <c r="B615" s="1" t="s">
        <v>27</v>
      </c>
      <c r="C615" s="2">
        <v>36715</v>
      </c>
      <c r="D615" s="2">
        <v>47558</v>
      </c>
      <c r="E615" s="1">
        <v>201</v>
      </c>
      <c r="F615" s="1">
        <v>2.31</v>
      </c>
      <c r="G615" s="1">
        <v>7937</v>
      </c>
      <c r="H615" s="1">
        <v>27.86</v>
      </c>
      <c r="I615" s="1" t="s">
        <v>13</v>
      </c>
      <c r="J615" s="1" t="s">
        <v>20</v>
      </c>
      <c r="K615" s="26">
        <v>4</v>
      </c>
    </row>
    <row r="616" spans="1:11" x14ac:dyDescent="0.25">
      <c r="A616" s="25" t="s">
        <v>24</v>
      </c>
      <c r="B616" s="1" t="s">
        <v>19</v>
      </c>
      <c r="C616" s="2">
        <v>37605</v>
      </c>
      <c r="D616" s="2">
        <v>12738</v>
      </c>
      <c r="E616" s="1">
        <v>74</v>
      </c>
      <c r="F616" s="1">
        <v>1.04</v>
      </c>
      <c r="G616" s="1">
        <v>946</v>
      </c>
      <c r="H616" s="1">
        <v>19.23</v>
      </c>
      <c r="I616" s="1" t="s">
        <v>13</v>
      </c>
      <c r="J616" s="1" t="s">
        <v>14</v>
      </c>
      <c r="K616" s="26">
        <v>5</v>
      </c>
    </row>
    <row r="617" spans="1:11" x14ac:dyDescent="0.25">
      <c r="A617" s="25" t="s">
        <v>11</v>
      </c>
      <c r="B617" s="1" t="s">
        <v>21</v>
      </c>
      <c r="C617" s="2">
        <v>109853</v>
      </c>
      <c r="D617" s="2">
        <v>29797</v>
      </c>
      <c r="E617" s="1">
        <v>858</v>
      </c>
      <c r="F617" s="1">
        <v>4.3099999999999996</v>
      </c>
      <c r="G617" s="1">
        <v>1891</v>
      </c>
      <c r="H617" s="1">
        <v>9.35</v>
      </c>
      <c r="I617" s="1" t="s">
        <v>23</v>
      </c>
      <c r="J617" s="1" t="s">
        <v>20</v>
      </c>
      <c r="K617" s="26">
        <v>7</v>
      </c>
    </row>
    <row r="618" spans="1:11" x14ac:dyDescent="0.25">
      <c r="A618" s="25" t="s">
        <v>18</v>
      </c>
      <c r="B618" s="1" t="s">
        <v>21</v>
      </c>
      <c r="C618" s="2">
        <v>41174</v>
      </c>
      <c r="D618" s="2">
        <v>48498</v>
      </c>
      <c r="E618" s="1">
        <v>972</v>
      </c>
      <c r="F618" s="1">
        <v>4.2</v>
      </c>
      <c r="G618" s="1">
        <v>12016</v>
      </c>
      <c r="H618" s="1">
        <v>15.76</v>
      </c>
      <c r="I618" s="1" t="s">
        <v>16</v>
      </c>
      <c r="J618" s="1" t="s">
        <v>17</v>
      </c>
      <c r="K618" s="26">
        <v>3</v>
      </c>
    </row>
    <row r="619" spans="1:11" x14ac:dyDescent="0.25">
      <c r="A619" s="25" t="s">
        <v>15</v>
      </c>
      <c r="B619" s="1" t="s">
        <v>25</v>
      </c>
      <c r="C619" s="2">
        <v>151028</v>
      </c>
      <c r="D619" s="2">
        <v>12120</v>
      </c>
      <c r="E619" s="1">
        <v>483</v>
      </c>
      <c r="F619" s="1">
        <v>1.42</v>
      </c>
      <c r="G619" s="1">
        <v>18224</v>
      </c>
      <c r="H619" s="1">
        <v>1.98</v>
      </c>
      <c r="I619" s="1" t="s">
        <v>13</v>
      </c>
      <c r="J619" s="1" t="s">
        <v>17</v>
      </c>
      <c r="K619" s="26">
        <v>5</v>
      </c>
    </row>
    <row r="620" spans="1:11" x14ac:dyDescent="0.25">
      <c r="A620" s="25" t="s">
        <v>11</v>
      </c>
      <c r="B620" s="1" t="s">
        <v>27</v>
      </c>
      <c r="C620" s="2">
        <v>86373</v>
      </c>
      <c r="D620" s="2">
        <v>9767</v>
      </c>
      <c r="E620" s="1">
        <v>792</v>
      </c>
      <c r="F620" s="1">
        <v>3.31</v>
      </c>
      <c r="G620" s="1">
        <v>15954</v>
      </c>
      <c r="H620" s="1">
        <v>29.18</v>
      </c>
      <c r="I620" s="1" t="s">
        <v>13</v>
      </c>
      <c r="J620" s="1" t="s">
        <v>17</v>
      </c>
      <c r="K620" s="26">
        <v>3</v>
      </c>
    </row>
    <row r="621" spans="1:11" x14ac:dyDescent="0.25">
      <c r="A621" s="25" t="s">
        <v>11</v>
      </c>
      <c r="B621" s="1" t="s">
        <v>21</v>
      </c>
      <c r="C621" s="2">
        <v>79252</v>
      </c>
      <c r="D621" s="2">
        <v>23852</v>
      </c>
      <c r="E621" s="1">
        <v>109</v>
      </c>
      <c r="F621" s="1">
        <v>2.86</v>
      </c>
      <c r="G621" s="1">
        <v>19823</v>
      </c>
      <c r="H621" s="1">
        <v>10.8</v>
      </c>
      <c r="I621" s="1" t="s">
        <v>23</v>
      </c>
      <c r="J621" s="1" t="s">
        <v>14</v>
      </c>
      <c r="K621" s="26">
        <v>5</v>
      </c>
    </row>
    <row r="622" spans="1:11" x14ac:dyDescent="0.25">
      <c r="A622" s="25" t="s">
        <v>15</v>
      </c>
      <c r="B622" s="1" t="s">
        <v>25</v>
      </c>
      <c r="C622" s="2">
        <v>80017</v>
      </c>
      <c r="D622" s="2">
        <v>14703</v>
      </c>
      <c r="E622" s="1">
        <v>553</v>
      </c>
      <c r="F622" s="1">
        <v>1.47</v>
      </c>
      <c r="G622" s="1">
        <v>12391</v>
      </c>
      <c r="H622" s="1">
        <v>14.34</v>
      </c>
      <c r="I622" s="1" t="s">
        <v>26</v>
      </c>
      <c r="J622" s="1" t="s">
        <v>20</v>
      </c>
      <c r="K622" s="26">
        <v>3</v>
      </c>
    </row>
    <row r="623" spans="1:11" x14ac:dyDescent="0.25">
      <c r="A623" s="25" t="s">
        <v>24</v>
      </c>
      <c r="B623" s="1" t="s">
        <v>19</v>
      </c>
      <c r="C623" s="2">
        <v>73037</v>
      </c>
      <c r="D623" s="2">
        <v>1929</v>
      </c>
      <c r="E623" s="1">
        <v>873</v>
      </c>
      <c r="F623" s="1">
        <v>4.92</v>
      </c>
      <c r="G623" s="1">
        <v>15498</v>
      </c>
      <c r="H623" s="1">
        <v>10.66</v>
      </c>
      <c r="I623" s="1" t="s">
        <v>13</v>
      </c>
      <c r="J623" s="1" t="s">
        <v>20</v>
      </c>
      <c r="K623" s="26">
        <v>7</v>
      </c>
    </row>
    <row r="624" spans="1:11" x14ac:dyDescent="0.25">
      <c r="A624" s="25" t="s">
        <v>11</v>
      </c>
      <c r="B624" s="1" t="s">
        <v>21</v>
      </c>
      <c r="C624" s="2">
        <v>99818</v>
      </c>
      <c r="D624" s="2">
        <v>12951</v>
      </c>
      <c r="E624" s="1">
        <v>137</v>
      </c>
      <c r="F624" s="1">
        <v>1.86</v>
      </c>
      <c r="G624" s="1">
        <v>6469</v>
      </c>
      <c r="H624" s="1">
        <v>20.48</v>
      </c>
      <c r="I624" s="1" t="s">
        <v>22</v>
      </c>
      <c r="J624" s="1" t="s">
        <v>20</v>
      </c>
      <c r="K624" s="26">
        <v>1</v>
      </c>
    </row>
    <row r="625" spans="1:11" x14ac:dyDescent="0.25">
      <c r="A625" s="25" t="s">
        <v>24</v>
      </c>
      <c r="B625" s="1" t="s">
        <v>25</v>
      </c>
      <c r="C625" s="2">
        <v>16548</v>
      </c>
      <c r="D625" s="2">
        <v>27039</v>
      </c>
      <c r="E625" s="1">
        <v>461</v>
      </c>
      <c r="F625" s="1">
        <v>1.27</v>
      </c>
      <c r="G625" s="1">
        <v>9765</v>
      </c>
      <c r="H625" s="1">
        <v>19.87</v>
      </c>
      <c r="I625" s="1" t="s">
        <v>22</v>
      </c>
      <c r="J625" s="1" t="s">
        <v>14</v>
      </c>
      <c r="K625" s="26">
        <v>9</v>
      </c>
    </row>
    <row r="626" spans="1:11" x14ac:dyDescent="0.25">
      <c r="A626" s="25" t="s">
        <v>18</v>
      </c>
      <c r="B626" s="1" t="s">
        <v>25</v>
      </c>
      <c r="C626" s="2">
        <v>126981</v>
      </c>
      <c r="D626" s="2">
        <v>49613</v>
      </c>
      <c r="E626" s="1">
        <v>923</v>
      </c>
      <c r="F626" s="1">
        <v>3.38</v>
      </c>
      <c r="G626" s="1">
        <v>16361</v>
      </c>
      <c r="H626" s="1">
        <v>21.46</v>
      </c>
      <c r="I626" s="1" t="s">
        <v>26</v>
      </c>
      <c r="J626" s="1" t="s">
        <v>14</v>
      </c>
      <c r="K626" s="26">
        <v>9</v>
      </c>
    </row>
    <row r="627" spans="1:11" x14ac:dyDescent="0.25">
      <c r="A627" s="25" t="s">
        <v>24</v>
      </c>
      <c r="B627" s="1" t="s">
        <v>12</v>
      </c>
      <c r="C627" s="2">
        <v>164249</v>
      </c>
      <c r="D627" s="2">
        <v>30504</v>
      </c>
      <c r="E627" s="1">
        <v>378</v>
      </c>
      <c r="F627" s="1">
        <v>3.96</v>
      </c>
      <c r="G627" s="1">
        <v>5954</v>
      </c>
      <c r="H627" s="1">
        <v>8.0399999999999991</v>
      </c>
      <c r="I627" s="1" t="s">
        <v>16</v>
      </c>
      <c r="J627" s="1" t="s">
        <v>17</v>
      </c>
      <c r="K627" s="26">
        <v>5</v>
      </c>
    </row>
    <row r="628" spans="1:11" x14ac:dyDescent="0.25">
      <c r="A628" s="25" t="s">
        <v>18</v>
      </c>
      <c r="B628" s="1" t="s">
        <v>19</v>
      </c>
      <c r="C628" s="2">
        <v>34022</v>
      </c>
      <c r="D628" s="2">
        <v>18438</v>
      </c>
      <c r="E628" s="1">
        <v>860</v>
      </c>
      <c r="F628" s="1">
        <v>1.1299999999999999</v>
      </c>
      <c r="G628" s="1">
        <v>3650</v>
      </c>
      <c r="H628" s="1">
        <v>9.4700000000000006</v>
      </c>
      <c r="I628" s="1" t="s">
        <v>23</v>
      </c>
      <c r="J628" s="1" t="s">
        <v>17</v>
      </c>
      <c r="K628" s="26">
        <v>9</v>
      </c>
    </row>
    <row r="629" spans="1:11" x14ac:dyDescent="0.25">
      <c r="A629" s="25" t="s">
        <v>24</v>
      </c>
      <c r="B629" s="1" t="s">
        <v>12</v>
      </c>
      <c r="C629" s="2">
        <v>116297</v>
      </c>
      <c r="D629" s="2">
        <v>49515</v>
      </c>
      <c r="E629" s="1">
        <v>52</v>
      </c>
      <c r="F629" s="1">
        <v>3.63</v>
      </c>
      <c r="G629" s="1">
        <v>15886</v>
      </c>
      <c r="H629" s="1">
        <v>3.76</v>
      </c>
      <c r="I629" s="1" t="s">
        <v>22</v>
      </c>
      <c r="J629" s="1" t="s">
        <v>20</v>
      </c>
      <c r="K629" s="26">
        <v>6</v>
      </c>
    </row>
    <row r="630" spans="1:11" x14ac:dyDescent="0.25">
      <c r="A630" s="25" t="s">
        <v>11</v>
      </c>
      <c r="B630" s="1" t="s">
        <v>27</v>
      </c>
      <c r="C630" s="2">
        <v>146614</v>
      </c>
      <c r="D630" s="2">
        <v>6744</v>
      </c>
      <c r="E630" s="1">
        <v>893</v>
      </c>
      <c r="F630" s="1">
        <v>3.13</v>
      </c>
      <c r="G630" s="1">
        <v>6914</v>
      </c>
      <c r="H630" s="1">
        <v>19.670000000000002</v>
      </c>
      <c r="I630" s="1" t="s">
        <v>22</v>
      </c>
      <c r="J630" s="1" t="s">
        <v>14</v>
      </c>
      <c r="K630" s="26">
        <v>5</v>
      </c>
    </row>
    <row r="631" spans="1:11" x14ac:dyDescent="0.25">
      <c r="A631" s="25" t="s">
        <v>11</v>
      </c>
      <c r="B631" s="1" t="s">
        <v>12</v>
      </c>
      <c r="C631" s="2">
        <v>70428</v>
      </c>
      <c r="D631" s="2">
        <v>19284</v>
      </c>
      <c r="E631" s="1">
        <v>428</v>
      </c>
      <c r="F631" s="1">
        <v>1.41</v>
      </c>
      <c r="G631" s="1">
        <v>5157</v>
      </c>
      <c r="H631" s="1">
        <v>1.19</v>
      </c>
      <c r="I631" s="1" t="s">
        <v>26</v>
      </c>
      <c r="J631" s="1" t="s">
        <v>14</v>
      </c>
      <c r="K631" s="26">
        <v>3</v>
      </c>
    </row>
    <row r="632" spans="1:11" x14ac:dyDescent="0.25">
      <c r="A632" s="25" t="s">
        <v>18</v>
      </c>
      <c r="B632" s="1" t="s">
        <v>12</v>
      </c>
      <c r="C632" s="2">
        <v>163812</v>
      </c>
      <c r="D632" s="2">
        <v>43417</v>
      </c>
      <c r="E632" s="1">
        <v>497</v>
      </c>
      <c r="F632" s="1">
        <v>1.69</v>
      </c>
      <c r="G632" s="1">
        <v>10986</v>
      </c>
      <c r="H632" s="1">
        <v>17.93</v>
      </c>
      <c r="I632" s="1" t="s">
        <v>16</v>
      </c>
      <c r="J632" s="1" t="s">
        <v>20</v>
      </c>
      <c r="K632" s="26">
        <v>8</v>
      </c>
    </row>
    <row r="633" spans="1:11" x14ac:dyDescent="0.25">
      <c r="A633" s="25" t="s">
        <v>15</v>
      </c>
      <c r="B633" s="1" t="s">
        <v>21</v>
      </c>
      <c r="C633" s="2">
        <v>69353</v>
      </c>
      <c r="D633" s="2">
        <v>40748</v>
      </c>
      <c r="E633" s="1">
        <v>87</v>
      </c>
      <c r="F633" s="1">
        <v>3.27</v>
      </c>
      <c r="G633" s="1">
        <v>15394</v>
      </c>
      <c r="H633" s="1">
        <v>26.09</v>
      </c>
      <c r="I633" s="1" t="s">
        <v>16</v>
      </c>
      <c r="J633" s="1" t="s">
        <v>20</v>
      </c>
      <c r="K633" s="26">
        <v>4</v>
      </c>
    </row>
    <row r="634" spans="1:11" x14ac:dyDescent="0.25">
      <c r="A634" s="25" t="s">
        <v>18</v>
      </c>
      <c r="B634" s="1" t="s">
        <v>25</v>
      </c>
      <c r="C634" s="2">
        <v>123132</v>
      </c>
      <c r="D634" s="2">
        <v>8069</v>
      </c>
      <c r="E634" s="1">
        <v>835</v>
      </c>
      <c r="F634" s="1">
        <v>2.19</v>
      </c>
      <c r="G634" s="1">
        <v>5980</v>
      </c>
      <c r="H634" s="1">
        <v>26.72</v>
      </c>
      <c r="I634" s="1" t="s">
        <v>26</v>
      </c>
      <c r="J634" s="1" t="s">
        <v>17</v>
      </c>
      <c r="K634" s="26">
        <v>3</v>
      </c>
    </row>
    <row r="635" spans="1:11" x14ac:dyDescent="0.25">
      <c r="A635" s="25" t="s">
        <v>18</v>
      </c>
      <c r="B635" s="1" t="s">
        <v>19</v>
      </c>
      <c r="C635" s="2">
        <v>197604</v>
      </c>
      <c r="D635" s="2">
        <v>43359</v>
      </c>
      <c r="E635" s="1">
        <v>810</v>
      </c>
      <c r="F635" s="1">
        <v>4.75</v>
      </c>
      <c r="G635" s="1">
        <v>8533</v>
      </c>
      <c r="H635" s="1">
        <v>13.47</v>
      </c>
      <c r="I635" s="1" t="s">
        <v>22</v>
      </c>
      <c r="J635" s="1" t="s">
        <v>17</v>
      </c>
      <c r="K635" s="26">
        <v>6</v>
      </c>
    </row>
    <row r="636" spans="1:11" x14ac:dyDescent="0.25">
      <c r="A636" s="25" t="s">
        <v>24</v>
      </c>
      <c r="B636" s="1" t="s">
        <v>12</v>
      </c>
      <c r="C636" s="2">
        <v>26052</v>
      </c>
      <c r="D636" s="2">
        <v>20799</v>
      </c>
      <c r="E636" s="1">
        <v>279</v>
      </c>
      <c r="F636" s="1">
        <v>4.2699999999999996</v>
      </c>
      <c r="G636" s="1">
        <v>1483</v>
      </c>
      <c r="H636" s="1">
        <v>13.78</v>
      </c>
      <c r="I636" s="1" t="s">
        <v>23</v>
      </c>
      <c r="J636" s="1" t="s">
        <v>17</v>
      </c>
      <c r="K636" s="26">
        <v>8</v>
      </c>
    </row>
    <row r="637" spans="1:11" x14ac:dyDescent="0.25">
      <c r="A637" s="25" t="s">
        <v>24</v>
      </c>
      <c r="B637" s="1" t="s">
        <v>19</v>
      </c>
      <c r="C637" s="2">
        <v>110689</v>
      </c>
      <c r="D637" s="2">
        <v>34210</v>
      </c>
      <c r="E637" s="1">
        <v>683</v>
      </c>
      <c r="F637" s="1">
        <v>4.93</v>
      </c>
      <c r="G637" s="1">
        <v>9043</v>
      </c>
      <c r="H637" s="1">
        <v>2.31</v>
      </c>
      <c r="I637" s="1" t="s">
        <v>22</v>
      </c>
      <c r="J637" s="1" t="s">
        <v>20</v>
      </c>
      <c r="K637" s="26">
        <v>9</v>
      </c>
    </row>
    <row r="638" spans="1:11" x14ac:dyDescent="0.25">
      <c r="A638" s="25" t="s">
        <v>18</v>
      </c>
      <c r="B638" s="1" t="s">
        <v>12</v>
      </c>
      <c r="C638" s="2">
        <v>188148</v>
      </c>
      <c r="D638" s="2">
        <v>29226</v>
      </c>
      <c r="E638" s="1">
        <v>710</v>
      </c>
      <c r="F638" s="1">
        <v>2.04</v>
      </c>
      <c r="G638" s="1">
        <v>10416</v>
      </c>
      <c r="H638" s="1">
        <v>20.12</v>
      </c>
      <c r="I638" s="1" t="s">
        <v>16</v>
      </c>
      <c r="J638" s="1" t="s">
        <v>20</v>
      </c>
      <c r="K638" s="26">
        <v>6</v>
      </c>
    </row>
    <row r="639" spans="1:11" x14ac:dyDescent="0.25">
      <c r="A639" s="25" t="s">
        <v>11</v>
      </c>
      <c r="B639" s="1" t="s">
        <v>27</v>
      </c>
      <c r="C639" s="2">
        <v>194492</v>
      </c>
      <c r="D639" s="2">
        <v>5652</v>
      </c>
      <c r="E639" s="1">
        <v>768</v>
      </c>
      <c r="F639" s="1">
        <v>4.88</v>
      </c>
      <c r="G639" s="1">
        <v>10643</v>
      </c>
      <c r="H639" s="1">
        <v>24.64</v>
      </c>
      <c r="I639" s="1" t="s">
        <v>22</v>
      </c>
      <c r="J639" s="1" t="s">
        <v>17</v>
      </c>
      <c r="K639" s="26">
        <v>5</v>
      </c>
    </row>
    <row r="640" spans="1:11" x14ac:dyDescent="0.25">
      <c r="A640" s="25" t="s">
        <v>24</v>
      </c>
      <c r="B640" s="1" t="s">
        <v>12</v>
      </c>
      <c r="C640" s="2">
        <v>141743</v>
      </c>
      <c r="D640" s="2">
        <v>25323</v>
      </c>
      <c r="E640" s="1">
        <v>909</v>
      </c>
      <c r="F640" s="1">
        <v>2.72</v>
      </c>
      <c r="G640" s="1">
        <v>16081</v>
      </c>
      <c r="H640" s="1">
        <v>7.34</v>
      </c>
      <c r="I640" s="1" t="s">
        <v>23</v>
      </c>
      <c r="J640" s="1" t="s">
        <v>17</v>
      </c>
      <c r="K640" s="26">
        <v>2</v>
      </c>
    </row>
    <row r="641" spans="1:11" x14ac:dyDescent="0.25">
      <c r="A641" s="25" t="s">
        <v>15</v>
      </c>
      <c r="B641" s="1" t="s">
        <v>21</v>
      </c>
      <c r="C641" s="2">
        <v>10163</v>
      </c>
      <c r="D641" s="2">
        <v>43138</v>
      </c>
      <c r="E641" s="1">
        <v>737</v>
      </c>
      <c r="F641" s="1">
        <v>2.39</v>
      </c>
      <c r="G641" s="1">
        <v>2407</v>
      </c>
      <c r="H641" s="1">
        <v>12.64</v>
      </c>
      <c r="I641" s="1" t="s">
        <v>13</v>
      </c>
      <c r="J641" s="1" t="s">
        <v>14</v>
      </c>
      <c r="K641" s="26">
        <v>2</v>
      </c>
    </row>
    <row r="642" spans="1:11" x14ac:dyDescent="0.25">
      <c r="A642" s="25" t="s">
        <v>24</v>
      </c>
      <c r="B642" s="1" t="s">
        <v>25</v>
      </c>
      <c r="C642" s="2">
        <v>51424</v>
      </c>
      <c r="D642" s="2">
        <v>8597</v>
      </c>
      <c r="E642" s="1">
        <v>324</v>
      </c>
      <c r="F642" s="1">
        <v>1.2</v>
      </c>
      <c r="G642" s="1">
        <v>9716</v>
      </c>
      <c r="H642" s="1">
        <v>25.17</v>
      </c>
      <c r="I642" s="1" t="s">
        <v>22</v>
      </c>
      <c r="J642" s="1" t="s">
        <v>14</v>
      </c>
      <c r="K642" s="26">
        <v>9</v>
      </c>
    </row>
    <row r="643" spans="1:11" x14ac:dyDescent="0.25">
      <c r="A643" s="25" t="s">
        <v>24</v>
      </c>
      <c r="B643" s="1" t="s">
        <v>27</v>
      </c>
      <c r="C643" s="2">
        <v>194816</v>
      </c>
      <c r="D643" s="2">
        <v>48093</v>
      </c>
      <c r="E643" s="1">
        <v>934</v>
      </c>
      <c r="F643" s="1">
        <v>1.21</v>
      </c>
      <c r="G643" s="1">
        <v>9237</v>
      </c>
      <c r="H643" s="1">
        <v>26.31</v>
      </c>
      <c r="I643" s="1" t="s">
        <v>26</v>
      </c>
      <c r="J643" s="1" t="s">
        <v>17</v>
      </c>
      <c r="K643" s="26">
        <v>2</v>
      </c>
    </row>
    <row r="644" spans="1:11" x14ac:dyDescent="0.25">
      <c r="A644" s="25" t="s">
        <v>15</v>
      </c>
      <c r="B644" s="1" t="s">
        <v>12</v>
      </c>
      <c r="C644" s="2">
        <v>151706</v>
      </c>
      <c r="D644" s="2">
        <v>38226</v>
      </c>
      <c r="E644" s="1">
        <v>860</v>
      </c>
      <c r="F644" s="1">
        <v>3.77</v>
      </c>
      <c r="G644" s="1">
        <v>14257</v>
      </c>
      <c r="H644" s="1">
        <v>7.3</v>
      </c>
      <c r="I644" s="1" t="s">
        <v>13</v>
      </c>
      <c r="J644" s="1" t="s">
        <v>17</v>
      </c>
      <c r="K644" s="26">
        <v>2</v>
      </c>
    </row>
    <row r="645" spans="1:11" x14ac:dyDescent="0.25">
      <c r="A645" s="25" t="s">
        <v>18</v>
      </c>
      <c r="B645" s="1" t="s">
        <v>19</v>
      </c>
      <c r="C645" s="2">
        <v>145870</v>
      </c>
      <c r="D645" s="2">
        <v>7591</v>
      </c>
      <c r="E645" s="1">
        <v>911</v>
      </c>
      <c r="F645" s="1">
        <v>2.83</v>
      </c>
      <c r="G645" s="1">
        <v>4674</v>
      </c>
      <c r="H645" s="1">
        <v>16.52</v>
      </c>
      <c r="I645" s="1" t="s">
        <v>26</v>
      </c>
      <c r="J645" s="1" t="s">
        <v>14</v>
      </c>
      <c r="K645" s="26">
        <v>3</v>
      </c>
    </row>
    <row r="646" spans="1:11" x14ac:dyDescent="0.25">
      <c r="A646" s="25" t="s">
        <v>15</v>
      </c>
      <c r="B646" s="1" t="s">
        <v>27</v>
      </c>
      <c r="C646" s="2">
        <v>32420</v>
      </c>
      <c r="D646" s="2">
        <v>26833</v>
      </c>
      <c r="E646" s="1">
        <v>898</v>
      </c>
      <c r="F646" s="1">
        <v>1.91</v>
      </c>
      <c r="G646" s="1">
        <v>16208</v>
      </c>
      <c r="H646" s="1">
        <v>5.77</v>
      </c>
      <c r="I646" s="1" t="s">
        <v>26</v>
      </c>
      <c r="J646" s="1" t="s">
        <v>17</v>
      </c>
      <c r="K646" s="26">
        <v>3</v>
      </c>
    </row>
    <row r="647" spans="1:11" x14ac:dyDescent="0.25">
      <c r="A647" s="25" t="s">
        <v>18</v>
      </c>
      <c r="B647" s="1" t="s">
        <v>27</v>
      </c>
      <c r="C647" s="2">
        <v>130575</v>
      </c>
      <c r="D647" s="2">
        <v>12826</v>
      </c>
      <c r="E647" s="1">
        <v>954</v>
      </c>
      <c r="F647" s="1">
        <v>3.46</v>
      </c>
      <c r="G647" s="1">
        <v>9797</v>
      </c>
      <c r="H647" s="1">
        <v>3.06</v>
      </c>
      <c r="I647" s="1" t="s">
        <v>26</v>
      </c>
      <c r="J647" s="1" t="s">
        <v>14</v>
      </c>
      <c r="K647" s="26">
        <v>4</v>
      </c>
    </row>
    <row r="648" spans="1:11" x14ac:dyDescent="0.25">
      <c r="A648" s="25" t="s">
        <v>18</v>
      </c>
      <c r="B648" s="1" t="s">
        <v>12</v>
      </c>
      <c r="C648" s="2">
        <v>39300</v>
      </c>
      <c r="D648" s="2">
        <v>27417</v>
      </c>
      <c r="E648" s="1">
        <v>177</v>
      </c>
      <c r="F648" s="1">
        <v>2.0099999999999998</v>
      </c>
      <c r="G648" s="1">
        <v>2490</v>
      </c>
      <c r="H648" s="1">
        <v>27.33</v>
      </c>
      <c r="I648" s="1" t="s">
        <v>22</v>
      </c>
      <c r="J648" s="1" t="s">
        <v>14</v>
      </c>
      <c r="K648" s="26">
        <v>7</v>
      </c>
    </row>
    <row r="649" spans="1:11" x14ac:dyDescent="0.25">
      <c r="A649" s="25" t="s">
        <v>18</v>
      </c>
      <c r="B649" s="1" t="s">
        <v>27</v>
      </c>
      <c r="C649" s="2">
        <v>99881</v>
      </c>
      <c r="D649" s="2">
        <v>19693</v>
      </c>
      <c r="E649" s="1">
        <v>348</v>
      </c>
      <c r="F649" s="1">
        <v>3.31</v>
      </c>
      <c r="G649" s="1">
        <v>6096</v>
      </c>
      <c r="H649" s="1">
        <v>24.62</v>
      </c>
      <c r="I649" s="1" t="s">
        <v>16</v>
      </c>
      <c r="J649" s="1" t="s">
        <v>14</v>
      </c>
      <c r="K649" s="26">
        <v>9</v>
      </c>
    </row>
    <row r="650" spans="1:11" x14ac:dyDescent="0.25">
      <c r="A650" s="25" t="s">
        <v>15</v>
      </c>
      <c r="B650" s="1" t="s">
        <v>19</v>
      </c>
      <c r="C650" s="2">
        <v>20749</v>
      </c>
      <c r="D650" s="2">
        <v>15138</v>
      </c>
      <c r="E650" s="1">
        <v>202</v>
      </c>
      <c r="F650" s="1">
        <v>2.44</v>
      </c>
      <c r="G650" s="1">
        <v>16874</v>
      </c>
      <c r="H650" s="1">
        <v>22.8</v>
      </c>
      <c r="I650" s="1" t="s">
        <v>13</v>
      </c>
      <c r="J650" s="1" t="s">
        <v>20</v>
      </c>
      <c r="K650" s="26">
        <v>2</v>
      </c>
    </row>
    <row r="651" spans="1:11" x14ac:dyDescent="0.25">
      <c r="A651" s="25" t="s">
        <v>18</v>
      </c>
      <c r="B651" s="1" t="s">
        <v>27</v>
      </c>
      <c r="C651" s="2">
        <v>114131</v>
      </c>
      <c r="D651" s="2">
        <v>3169</v>
      </c>
      <c r="E651" s="1">
        <v>462</v>
      </c>
      <c r="F651" s="1">
        <v>4.29</v>
      </c>
      <c r="G651" s="1">
        <v>4275</v>
      </c>
      <c r="H651" s="1">
        <v>1.46</v>
      </c>
      <c r="I651" s="1" t="s">
        <v>23</v>
      </c>
      <c r="J651" s="1" t="s">
        <v>20</v>
      </c>
      <c r="K651" s="26">
        <v>4</v>
      </c>
    </row>
    <row r="652" spans="1:11" x14ac:dyDescent="0.25">
      <c r="A652" s="25" t="s">
        <v>11</v>
      </c>
      <c r="B652" s="1" t="s">
        <v>19</v>
      </c>
      <c r="C652" s="2">
        <v>166193</v>
      </c>
      <c r="D652" s="2">
        <v>19556</v>
      </c>
      <c r="E652" s="1">
        <v>292</v>
      </c>
      <c r="F652" s="1">
        <v>4.28</v>
      </c>
      <c r="G652" s="1">
        <v>18945</v>
      </c>
      <c r="H652" s="1">
        <v>25.31</v>
      </c>
      <c r="I652" s="1" t="s">
        <v>16</v>
      </c>
      <c r="J652" s="1" t="s">
        <v>17</v>
      </c>
      <c r="K652" s="26">
        <v>9</v>
      </c>
    </row>
    <row r="653" spans="1:11" x14ac:dyDescent="0.25">
      <c r="A653" s="25" t="s">
        <v>15</v>
      </c>
      <c r="B653" s="1" t="s">
        <v>12</v>
      </c>
      <c r="C653" s="2">
        <v>138563</v>
      </c>
      <c r="D653" s="2">
        <v>23052</v>
      </c>
      <c r="E653" s="1">
        <v>345</v>
      </c>
      <c r="F653" s="1">
        <v>2.91</v>
      </c>
      <c r="G653" s="1">
        <v>16206</v>
      </c>
      <c r="H653" s="1">
        <v>13.14</v>
      </c>
      <c r="I653" s="1" t="s">
        <v>22</v>
      </c>
      <c r="J653" s="1" t="s">
        <v>14</v>
      </c>
      <c r="K653" s="26">
        <v>2</v>
      </c>
    </row>
    <row r="654" spans="1:11" x14ac:dyDescent="0.25">
      <c r="A654" s="25" t="s">
        <v>11</v>
      </c>
      <c r="B654" s="1" t="s">
        <v>25</v>
      </c>
      <c r="C654" s="2">
        <v>47487</v>
      </c>
      <c r="D654" s="2">
        <v>7313</v>
      </c>
      <c r="E654" s="1">
        <v>399</v>
      </c>
      <c r="F654" s="1">
        <v>2.4</v>
      </c>
      <c r="G654" s="1">
        <v>15145</v>
      </c>
      <c r="H654" s="1">
        <v>10.27</v>
      </c>
      <c r="I654" s="1" t="s">
        <v>26</v>
      </c>
      <c r="J654" s="1" t="s">
        <v>20</v>
      </c>
      <c r="K654" s="26">
        <v>1</v>
      </c>
    </row>
    <row r="655" spans="1:11" x14ac:dyDescent="0.25">
      <c r="A655" s="25" t="s">
        <v>18</v>
      </c>
      <c r="B655" s="1" t="s">
        <v>27</v>
      </c>
      <c r="C655" s="2">
        <v>174433</v>
      </c>
      <c r="D655" s="2">
        <v>9315</v>
      </c>
      <c r="E655" s="1">
        <v>534</v>
      </c>
      <c r="F655" s="1">
        <v>2.4500000000000002</v>
      </c>
      <c r="G655" s="1">
        <v>14168</v>
      </c>
      <c r="H655" s="1">
        <v>16.39</v>
      </c>
      <c r="I655" s="1" t="s">
        <v>23</v>
      </c>
      <c r="J655" s="1" t="s">
        <v>17</v>
      </c>
      <c r="K655" s="26">
        <v>8</v>
      </c>
    </row>
    <row r="656" spans="1:11" x14ac:dyDescent="0.25">
      <c r="A656" s="25" t="s">
        <v>24</v>
      </c>
      <c r="B656" s="1" t="s">
        <v>25</v>
      </c>
      <c r="C656" s="2">
        <v>31223</v>
      </c>
      <c r="D656" s="2">
        <v>9036</v>
      </c>
      <c r="E656" s="1">
        <v>249</v>
      </c>
      <c r="F656" s="1">
        <v>4.22</v>
      </c>
      <c r="G656" s="1">
        <v>16460</v>
      </c>
      <c r="H656" s="1">
        <v>2.74</v>
      </c>
      <c r="I656" s="1" t="s">
        <v>13</v>
      </c>
      <c r="J656" s="1" t="s">
        <v>17</v>
      </c>
      <c r="K656" s="26">
        <v>9</v>
      </c>
    </row>
    <row r="657" spans="1:11" x14ac:dyDescent="0.25">
      <c r="A657" s="25" t="s">
        <v>18</v>
      </c>
      <c r="B657" s="1" t="s">
        <v>19</v>
      </c>
      <c r="C657" s="2">
        <v>82930</v>
      </c>
      <c r="D657" s="2">
        <v>32778</v>
      </c>
      <c r="E657" s="1">
        <v>841</v>
      </c>
      <c r="F657" s="1">
        <v>2.31</v>
      </c>
      <c r="G657" s="1">
        <v>11857</v>
      </c>
      <c r="H657" s="1">
        <v>22.7</v>
      </c>
      <c r="I657" s="1" t="s">
        <v>16</v>
      </c>
      <c r="J657" s="1" t="s">
        <v>17</v>
      </c>
      <c r="K657" s="26">
        <v>7</v>
      </c>
    </row>
    <row r="658" spans="1:11" x14ac:dyDescent="0.25">
      <c r="A658" s="25" t="s">
        <v>11</v>
      </c>
      <c r="B658" s="1" t="s">
        <v>27</v>
      </c>
      <c r="C658" s="2">
        <v>155128</v>
      </c>
      <c r="D658" s="2">
        <v>28734</v>
      </c>
      <c r="E658" s="1">
        <v>967</v>
      </c>
      <c r="F658" s="1">
        <v>1.84</v>
      </c>
      <c r="G658" s="1">
        <v>4935</v>
      </c>
      <c r="H658" s="1">
        <v>17.47</v>
      </c>
      <c r="I658" s="1" t="s">
        <v>16</v>
      </c>
      <c r="J658" s="1" t="s">
        <v>17</v>
      </c>
      <c r="K658" s="26">
        <v>8</v>
      </c>
    </row>
    <row r="659" spans="1:11" x14ac:dyDescent="0.25">
      <c r="A659" s="25" t="s">
        <v>11</v>
      </c>
      <c r="B659" s="1" t="s">
        <v>21</v>
      </c>
      <c r="C659" s="2">
        <v>38380</v>
      </c>
      <c r="D659" s="2">
        <v>24173</v>
      </c>
      <c r="E659" s="1">
        <v>492</v>
      </c>
      <c r="F659" s="1">
        <v>1.34</v>
      </c>
      <c r="G659" s="1">
        <v>19528</v>
      </c>
      <c r="H659" s="1">
        <v>5.6</v>
      </c>
      <c r="I659" s="1" t="s">
        <v>23</v>
      </c>
      <c r="J659" s="1" t="s">
        <v>17</v>
      </c>
      <c r="K659" s="26">
        <v>4</v>
      </c>
    </row>
    <row r="660" spans="1:11" x14ac:dyDescent="0.25">
      <c r="A660" s="25" t="s">
        <v>15</v>
      </c>
      <c r="B660" s="1" t="s">
        <v>25</v>
      </c>
      <c r="C660" s="2">
        <v>36035</v>
      </c>
      <c r="D660" s="2">
        <v>31403</v>
      </c>
      <c r="E660" s="1">
        <v>668</v>
      </c>
      <c r="F660" s="1">
        <v>2.87</v>
      </c>
      <c r="G660" s="1">
        <v>16304</v>
      </c>
      <c r="H660" s="1">
        <v>5.65</v>
      </c>
      <c r="I660" s="1" t="s">
        <v>22</v>
      </c>
      <c r="J660" s="1" t="s">
        <v>14</v>
      </c>
      <c r="K660" s="26">
        <v>4</v>
      </c>
    </row>
    <row r="661" spans="1:11" x14ac:dyDescent="0.25">
      <c r="A661" s="25" t="s">
        <v>24</v>
      </c>
      <c r="B661" s="1" t="s">
        <v>27</v>
      </c>
      <c r="C661" s="2">
        <v>40620</v>
      </c>
      <c r="D661" s="2">
        <v>1785</v>
      </c>
      <c r="E661" s="1">
        <v>725</v>
      </c>
      <c r="F661" s="1">
        <v>2.93</v>
      </c>
      <c r="G661" s="1">
        <v>17929</v>
      </c>
      <c r="H661" s="1">
        <v>5.53</v>
      </c>
      <c r="I661" s="1" t="s">
        <v>13</v>
      </c>
      <c r="J661" s="1" t="s">
        <v>17</v>
      </c>
      <c r="K661" s="26">
        <v>2</v>
      </c>
    </row>
    <row r="662" spans="1:11" x14ac:dyDescent="0.25">
      <c r="A662" s="25" t="s">
        <v>15</v>
      </c>
      <c r="B662" s="1" t="s">
        <v>25</v>
      </c>
      <c r="C662" s="2">
        <v>160949</v>
      </c>
      <c r="D662" s="2">
        <v>7139</v>
      </c>
      <c r="E662" s="1">
        <v>601</v>
      </c>
      <c r="F662" s="1">
        <v>4.3600000000000003</v>
      </c>
      <c r="G662" s="1">
        <v>15126</v>
      </c>
      <c r="H662" s="1">
        <v>1.71</v>
      </c>
      <c r="I662" s="1" t="s">
        <v>23</v>
      </c>
      <c r="J662" s="1" t="s">
        <v>14</v>
      </c>
      <c r="K662" s="26">
        <v>8</v>
      </c>
    </row>
    <row r="663" spans="1:11" x14ac:dyDescent="0.25">
      <c r="A663" s="25" t="s">
        <v>11</v>
      </c>
      <c r="B663" s="1" t="s">
        <v>27</v>
      </c>
      <c r="C663" s="2">
        <v>196388</v>
      </c>
      <c r="D663" s="2">
        <v>7344</v>
      </c>
      <c r="E663" s="1">
        <v>900</v>
      </c>
      <c r="F663" s="1">
        <v>1.88</v>
      </c>
      <c r="G663" s="1">
        <v>8451</v>
      </c>
      <c r="H663" s="1">
        <v>17.63</v>
      </c>
      <c r="I663" s="1" t="s">
        <v>26</v>
      </c>
      <c r="J663" s="1" t="s">
        <v>20</v>
      </c>
      <c r="K663" s="26">
        <v>2</v>
      </c>
    </row>
    <row r="664" spans="1:11" x14ac:dyDescent="0.25">
      <c r="A664" s="25" t="s">
        <v>18</v>
      </c>
      <c r="B664" s="1" t="s">
        <v>12</v>
      </c>
      <c r="C664" s="2">
        <v>127360</v>
      </c>
      <c r="D664" s="2">
        <v>19800</v>
      </c>
      <c r="E664" s="1">
        <v>564</v>
      </c>
      <c r="F664" s="1">
        <v>2.52</v>
      </c>
      <c r="G664" s="1">
        <v>6949</v>
      </c>
      <c r="H664" s="1">
        <v>25.21</v>
      </c>
      <c r="I664" s="1" t="s">
        <v>13</v>
      </c>
      <c r="J664" s="1" t="s">
        <v>17</v>
      </c>
      <c r="K664" s="26">
        <v>9</v>
      </c>
    </row>
    <row r="665" spans="1:11" x14ac:dyDescent="0.25">
      <c r="A665" s="25" t="s">
        <v>24</v>
      </c>
      <c r="B665" s="1" t="s">
        <v>25</v>
      </c>
      <c r="C665" s="2">
        <v>63352</v>
      </c>
      <c r="D665" s="2">
        <v>26372</v>
      </c>
      <c r="E665" s="1">
        <v>467</v>
      </c>
      <c r="F665" s="1">
        <v>4.2300000000000004</v>
      </c>
      <c r="G665" s="1">
        <v>19565</v>
      </c>
      <c r="H665" s="1">
        <v>0.52</v>
      </c>
      <c r="I665" s="1" t="s">
        <v>16</v>
      </c>
      <c r="J665" s="1" t="s">
        <v>20</v>
      </c>
      <c r="K665" s="26">
        <v>4</v>
      </c>
    </row>
    <row r="666" spans="1:11" x14ac:dyDescent="0.25">
      <c r="A666" s="25" t="s">
        <v>18</v>
      </c>
      <c r="B666" s="1" t="s">
        <v>21</v>
      </c>
      <c r="C666" s="2">
        <v>171983</v>
      </c>
      <c r="D666" s="2">
        <v>21538</v>
      </c>
      <c r="E666" s="1">
        <v>98</v>
      </c>
      <c r="F666" s="1">
        <v>4.29</v>
      </c>
      <c r="G666" s="1">
        <v>3699</v>
      </c>
      <c r="H666" s="1">
        <v>1.47</v>
      </c>
      <c r="I666" s="1" t="s">
        <v>23</v>
      </c>
      <c r="J666" s="1" t="s">
        <v>14</v>
      </c>
      <c r="K666" s="26">
        <v>1</v>
      </c>
    </row>
    <row r="667" spans="1:11" x14ac:dyDescent="0.25">
      <c r="A667" s="25" t="s">
        <v>18</v>
      </c>
      <c r="B667" s="1" t="s">
        <v>21</v>
      </c>
      <c r="C667" s="2">
        <v>173856</v>
      </c>
      <c r="D667" s="2">
        <v>15973</v>
      </c>
      <c r="E667" s="1">
        <v>669</v>
      </c>
      <c r="F667" s="1">
        <v>2.54</v>
      </c>
      <c r="G667" s="1">
        <v>7268</v>
      </c>
      <c r="H667" s="1">
        <v>17.18</v>
      </c>
      <c r="I667" s="1" t="s">
        <v>16</v>
      </c>
      <c r="J667" s="1" t="s">
        <v>14</v>
      </c>
      <c r="K667" s="26">
        <v>4</v>
      </c>
    </row>
    <row r="668" spans="1:11" x14ac:dyDescent="0.25">
      <c r="A668" s="25" t="s">
        <v>24</v>
      </c>
      <c r="B668" s="1" t="s">
        <v>19</v>
      </c>
      <c r="C668" s="2">
        <v>13191</v>
      </c>
      <c r="D668" s="2">
        <v>6619</v>
      </c>
      <c r="E668" s="1">
        <v>104</v>
      </c>
      <c r="F668" s="1">
        <v>2.84</v>
      </c>
      <c r="G668" s="1">
        <v>9630</v>
      </c>
      <c r="H668" s="1">
        <v>24.58</v>
      </c>
      <c r="I668" s="1" t="s">
        <v>16</v>
      </c>
      <c r="J668" s="1" t="s">
        <v>20</v>
      </c>
      <c r="K668" s="26">
        <v>3</v>
      </c>
    </row>
    <row r="669" spans="1:11" x14ac:dyDescent="0.25">
      <c r="A669" s="25" t="s">
        <v>15</v>
      </c>
      <c r="B669" s="1" t="s">
        <v>27</v>
      </c>
      <c r="C669" s="2">
        <v>174232</v>
      </c>
      <c r="D669" s="2">
        <v>35704</v>
      </c>
      <c r="E669" s="1">
        <v>461</v>
      </c>
      <c r="F669" s="1">
        <v>2.21</v>
      </c>
      <c r="G669" s="1">
        <v>9133</v>
      </c>
      <c r="H669" s="1">
        <v>9.8000000000000007</v>
      </c>
      <c r="I669" s="1" t="s">
        <v>16</v>
      </c>
      <c r="J669" s="1" t="s">
        <v>17</v>
      </c>
      <c r="K669" s="26">
        <v>6</v>
      </c>
    </row>
    <row r="670" spans="1:11" x14ac:dyDescent="0.25">
      <c r="A670" s="25" t="s">
        <v>18</v>
      </c>
      <c r="B670" s="1" t="s">
        <v>25</v>
      </c>
      <c r="C670" s="2">
        <v>100536</v>
      </c>
      <c r="D670" s="2">
        <v>37575</v>
      </c>
      <c r="E670" s="1">
        <v>437</v>
      </c>
      <c r="F670" s="1">
        <v>4.7300000000000004</v>
      </c>
      <c r="G670" s="1">
        <v>19434</v>
      </c>
      <c r="H670" s="1">
        <v>10.49</v>
      </c>
      <c r="I670" s="1" t="s">
        <v>22</v>
      </c>
      <c r="J670" s="1" t="s">
        <v>17</v>
      </c>
      <c r="K670" s="26">
        <v>7</v>
      </c>
    </row>
    <row r="671" spans="1:11" x14ac:dyDescent="0.25">
      <c r="A671" s="25" t="s">
        <v>11</v>
      </c>
      <c r="B671" s="1" t="s">
        <v>19</v>
      </c>
      <c r="C671" s="2">
        <v>114576</v>
      </c>
      <c r="D671" s="2">
        <v>40919</v>
      </c>
      <c r="E671" s="1">
        <v>160</v>
      </c>
      <c r="F671" s="1">
        <v>1.47</v>
      </c>
      <c r="G671" s="1">
        <v>4725</v>
      </c>
      <c r="H671" s="1">
        <v>17.89</v>
      </c>
      <c r="I671" s="1" t="s">
        <v>16</v>
      </c>
      <c r="J671" s="1" t="s">
        <v>20</v>
      </c>
      <c r="K671" s="26">
        <v>8</v>
      </c>
    </row>
    <row r="672" spans="1:11" x14ac:dyDescent="0.25">
      <c r="A672" s="25" t="s">
        <v>18</v>
      </c>
      <c r="B672" s="1" t="s">
        <v>25</v>
      </c>
      <c r="C672" s="2">
        <v>190795</v>
      </c>
      <c r="D672" s="2">
        <v>43261</v>
      </c>
      <c r="E672" s="1">
        <v>523</v>
      </c>
      <c r="F672" s="1">
        <v>4.7300000000000004</v>
      </c>
      <c r="G672" s="1">
        <v>17480</v>
      </c>
      <c r="H672" s="1">
        <v>8.23</v>
      </c>
      <c r="I672" s="1" t="s">
        <v>26</v>
      </c>
      <c r="J672" s="1" t="s">
        <v>20</v>
      </c>
      <c r="K672" s="26">
        <v>2</v>
      </c>
    </row>
    <row r="673" spans="1:11" x14ac:dyDescent="0.25">
      <c r="A673" s="25" t="s">
        <v>24</v>
      </c>
      <c r="B673" s="1" t="s">
        <v>27</v>
      </c>
      <c r="C673" s="2">
        <v>13631</v>
      </c>
      <c r="D673" s="2">
        <v>46123</v>
      </c>
      <c r="E673" s="1">
        <v>385</v>
      </c>
      <c r="F673" s="1">
        <v>3.74</v>
      </c>
      <c r="G673" s="1">
        <v>6554</v>
      </c>
      <c r="H673" s="1">
        <v>0.8</v>
      </c>
      <c r="I673" s="1" t="s">
        <v>26</v>
      </c>
      <c r="J673" s="1" t="s">
        <v>20</v>
      </c>
      <c r="K673" s="26">
        <v>6</v>
      </c>
    </row>
    <row r="674" spans="1:11" x14ac:dyDescent="0.25">
      <c r="A674" s="25" t="s">
        <v>24</v>
      </c>
      <c r="B674" s="1" t="s">
        <v>21</v>
      </c>
      <c r="C674" s="2">
        <v>147244</v>
      </c>
      <c r="D674" s="2">
        <v>28716</v>
      </c>
      <c r="E674" s="1">
        <v>31</v>
      </c>
      <c r="F674" s="1">
        <v>3.13</v>
      </c>
      <c r="G674" s="1">
        <v>2005</v>
      </c>
      <c r="H674" s="1">
        <v>22.06</v>
      </c>
      <c r="I674" s="1" t="s">
        <v>13</v>
      </c>
      <c r="J674" s="1" t="s">
        <v>17</v>
      </c>
      <c r="K674" s="26">
        <v>6</v>
      </c>
    </row>
    <row r="675" spans="1:11" x14ac:dyDescent="0.25">
      <c r="A675" s="25" t="s">
        <v>24</v>
      </c>
      <c r="B675" s="1" t="s">
        <v>12</v>
      </c>
      <c r="C675" s="2">
        <v>52080</v>
      </c>
      <c r="D675" s="2">
        <v>4236</v>
      </c>
      <c r="E675" s="1">
        <v>892</v>
      </c>
      <c r="F675" s="1">
        <v>1.1299999999999999</v>
      </c>
      <c r="G675" s="1">
        <v>9553</v>
      </c>
      <c r="H675" s="1">
        <v>18.77</v>
      </c>
      <c r="I675" s="1" t="s">
        <v>16</v>
      </c>
      <c r="J675" s="1" t="s">
        <v>17</v>
      </c>
      <c r="K675" s="26">
        <v>5</v>
      </c>
    </row>
    <row r="676" spans="1:11" x14ac:dyDescent="0.25">
      <c r="A676" s="25" t="s">
        <v>15</v>
      </c>
      <c r="B676" s="1" t="s">
        <v>21</v>
      </c>
      <c r="C676" s="2">
        <v>100353</v>
      </c>
      <c r="D676" s="2">
        <v>16848</v>
      </c>
      <c r="E676" s="1">
        <v>322</v>
      </c>
      <c r="F676" s="1">
        <v>2.9</v>
      </c>
      <c r="G676" s="1">
        <v>16249</v>
      </c>
      <c r="H676" s="1">
        <v>17.420000000000002</v>
      </c>
      <c r="I676" s="1" t="s">
        <v>16</v>
      </c>
      <c r="J676" s="1" t="s">
        <v>17</v>
      </c>
      <c r="K676" s="26">
        <v>7</v>
      </c>
    </row>
    <row r="677" spans="1:11" x14ac:dyDescent="0.25">
      <c r="A677" s="25" t="s">
        <v>18</v>
      </c>
      <c r="B677" s="1" t="s">
        <v>19</v>
      </c>
      <c r="C677" s="2">
        <v>161353</v>
      </c>
      <c r="D677" s="2">
        <v>3352</v>
      </c>
      <c r="E677" s="1">
        <v>849</v>
      </c>
      <c r="F677" s="1">
        <v>2.63</v>
      </c>
      <c r="G677" s="1">
        <v>11332</v>
      </c>
      <c r="H677" s="1">
        <v>22.25</v>
      </c>
      <c r="I677" s="1" t="s">
        <v>23</v>
      </c>
      <c r="J677" s="1" t="s">
        <v>20</v>
      </c>
      <c r="K677" s="26">
        <v>3</v>
      </c>
    </row>
    <row r="678" spans="1:11" x14ac:dyDescent="0.25">
      <c r="A678" s="25" t="s">
        <v>15</v>
      </c>
      <c r="B678" s="1" t="s">
        <v>12</v>
      </c>
      <c r="C678" s="2">
        <v>38671</v>
      </c>
      <c r="D678" s="2">
        <v>2932</v>
      </c>
      <c r="E678" s="1">
        <v>528</v>
      </c>
      <c r="F678" s="1">
        <v>1.64</v>
      </c>
      <c r="G678" s="1">
        <v>16844</v>
      </c>
      <c r="H678" s="1">
        <v>20.260000000000002</v>
      </c>
      <c r="I678" s="1" t="s">
        <v>22</v>
      </c>
      <c r="J678" s="1" t="s">
        <v>17</v>
      </c>
      <c r="K678" s="26">
        <v>4</v>
      </c>
    </row>
    <row r="679" spans="1:11" x14ac:dyDescent="0.25">
      <c r="A679" s="25" t="s">
        <v>15</v>
      </c>
      <c r="B679" s="1" t="s">
        <v>19</v>
      </c>
      <c r="C679" s="2">
        <v>132811</v>
      </c>
      <c r="D679" s="2">
        <v>11913</v>
      </c>
      <c r="E679" s="1">
        <v>215</v>
      </c>
      <c r="F679" s="1">
        <v>3.63</v>
      </c>
      <c r="G679" s="1">
        <v>15283</v>
      </c>
      <c r="H679" s="1">
        <v>6.18</v>
      </c>
      <c r="I679" s="1" t="s">
        <v>13</v>
      </c>
      <c r="J679" s="1" t="s">
        <v>14</v>
      </c>
      <c r="K679" s="26">
        <v>9</v>
      </c>
    </row>
    <row r="680" spans="1:11" x14ac:dyDescent="0.25">
      <c r="A680" s="25" t="s">
        <v>24</v>
      </c>
      <c r="B680" s="1" t="s">
        <v>27</v>
      </c>
      <c r="C680" s="2">
        <v>192503</v>
      </c>
      <c r="D680" s="2">
        <v>9556</v>
      </c>
      <c r="E680" s="1">
        <v>961</v>
      </c>
      <c r="F680" s="1">
        <v>4.88</v>
      </c>
      <c r="G680" s="1">
        <v>2051</v>
      </c>
      <c r="H680" s="1">
        <v>10.57</v>
      </c>
      <c r="I680" s="1" t="s">
        <v>16</v>
      </c>
      <c r="J680" s="1" t="s">
        <v>20</v>
      </c>
      <c r="K680" s="26">
        <v>4</v>
      </c>
    </row>
    <row r="681" spans="1:11" x14ac:dyDescent="0.25">
      <c r="A681" s="25" t="s">
        <v>24</v>
      </c>
      <c r="B681" s="1" t="s">
        <v>12</v>
      </c>
      <c r="C681" s="2">
        <v>137734</v>
      </c>
      <c r="D681" s="2">
        <v>22300</v>
      </c>
      <c r="E681" s="1">
        <v>384</v>
      </c>
      <c r="F681" s="1">
        <v>3.25</v>
      </c>
      <c r="G681" s="1">
        <v>15654</v>
      </c>
      <c r="H681" s="1">
        <v>3.78</v>
      </c>
      <c r="I681" s="1" t="s">
        <v>23</v>
      </c>
      <c r="J681" s="1" t="s">
        <v>17</v>
      </c>
      <c r="K681" s="26">
        <v>3</v>
      </c>
    </row>
    <row r="682" spans="1:11" x14ac:dyDescent="0.25">
      <c r="A682" s="25" t="s">
        <v>15</v>
      </c>
      <c r="B682" s="1" t="s">
        <v>19</v>
      </c>
      <c r="C682" s="2">
        <v>169674</v>
      </c>
      <c r="D682" s="2">
        <v>6498</v>
      </c>
      <c r="E682" s="1">
        <v>460</v>
      </c>
      <c r="F682" s="1">
        <v>3.86</v>
      </c>
      <c r="G682" s="1">
        <v>14299</v>
      </c>
      <c r="H682" s="1">
        <v>3.9</v>
      </c>
      <c r="I682" s="1" t="s">
        <v>22</v>
      </c>
      <c r="J682" s="1" t="s">
        <v>20</v>
      </c>
      <c r="K682" s="26">
        <v>2</v>
      </c>
    </row>
    <row r="683" spans="1:11" x14ac:dyDescent="0.25">
      <c r="A683" s="25" t="s">
        <v>18</v>
      </c>
      <c r="B683" s="1" t="s">
        <v>27</v>
      </c>
      <c r="C683" s="2">
        <v>61399</v>
      </c>
      <c r="D683" s="2">
        <v>11582</v>
      </c>
      <c r="E683" s="1">
        <v>635</v>
      </c>
      <c r="F683" s="1">
        <v>1.27</v>
      </c>
      <c r="G683" s="1">
        <v>7352</v>
      </c>
      <c r="H683" s="1">
        <v>20.29</v>
      </c>
      <c r="I683" s="1" t="s">
        <v>13</v>
      </c>
      <c r="J683" s="1" t="s">
        <v>14</v>
      </c>
      <c r="K683" s="26">
        <v>5</v>
      </c>
    </row>
    <row r="684" spans="1:11" x14ac:dyDescent="0.25">
      <c r="A684" s="25" t="s">
        <v>11</v>
      </c>
      <c r="B684" s="1" t="s">
        <v>21</v>
      </c>
      <c r="C684" s="2">
        <v>164544</v>
      </c>
      <c r="D684" s="2">
        <v>47633</v>
      </c>
      <c r="E684" s="1">
        <v>793</v>
      </c>
      <c r="F684" s="1">
        <v>2.67</v>
      </c>
      <c r="G684" s="1">
        <v>1949</v>
      </c>
      <c r="H684" s="1">
        <v>25.76</v>
      </c>
      <c r="I684" s="1" t="s">
        <v>13</v>
      </c>
      <c r="J684" s="1" t="s">
        <v>14</v>
      </c>
      <c r="K684" s="26">
        <v>4</v>
      </c>
    </row>
    <row r="685" spans="1:11" x14ac:dyDescent="0.25">
      <c r="A685" s="25" t="s">
        <v>15</v>
      </c>
      <c r="B685" s="1" t="s">
        <v>27</v>
      </c>
      <c r="C685" s="2">
        <v>190302</v>
      </c>
      <c r="D685" s="2">
        <v>10569</v>
      </c>
      <c r="E685" s="1">
        <v>604</v>
      </c>
      <c r="F685" s="1">
        <v>1.47</v>
      </c>
      <c r="G685" s="1">
        <v>3159</v>
      </c>
      <c r="H685" s="1">
        <v>28.88</v>
      </c>
      <c r="I685" s="1" t="s">
        <v>16</v>
      </c>
      <c r="J685" s="1" t="s">
        <v>20</v>
      </c>
      <c r="K685" s="26">
        <v>8</v>
      </c>
    </row>
    <row r="686" spans="1:11" x14ac:dyDescent="0.25">
      <c r="A686" s="25" t="s">
        <v>18</v>
      </c>
      <c r="B686" s="1" t="s">
        <v>25</v>
      </c>
      <c r="C686" s="2">
        <v>17099</v>
      </c>
      <c r="D686" s="2">
        <v>5857</v>
      </c>
      <c r="E686" s="1">
        <v>188</v>
      </c>
      <c r="F686" s="1">
        <v>3.45</v>
      </c>
      <c r="G686" s="1">
        <v>8009</v>
      </c>
      <c r="H686" s="1">
        <v>18.850000000000001</v>
      </c>
      <c r="I686" s="1" t="s">
        <v>13</v>
      </c>
      <c r="J686" s="1" t="s">
        <v>20</v>
      </c>
      <c r="K686" s="26">
        <v>7</v>
      </c>
    </row>
    <row r="687" spans="1:11" x14ac:dyDescent="0.25">
      <c r="A687" s="25" t="s">
        <v>24</v>
      </c>
      <c r="B687" s="1" t="s">
        <v>27</v>
      </c>
      <c r="C687" s="2">
        <v>166503</v>
      </c>
      <c r="D687" s="2">
        <v>1340</v>
      </c>
      <c r="E687" s="1">
        <v>219</v>
      </c>
      <c r="F687" s="1">
        <v>4.75</v>
      </c>
      <c r="G687" s="1">
        <v>3221</v>
      </c>
      <c r="H687" s="1">
        <v>5.52</v>
      </c>
      <c r="I687" s="1" t="s">
        <v>23</v>
      </c>
      <c r="J687" s="1" t="s">
        <v>14</v>
      </c>
      <c r="K687" s="26">
        <v>6</v>
      </c>
    </row>
    <row r="688" spans="1:11" x14ac:dyDescent="0.25">
      <c r="A688" s="25" t="s">
        <v>24</v>
      </c>
      <c r="B688" s="1" t="s">
        <v>27</v>
      </c>
      <c r="C688" s="2">
        <v>66492</v>
      </c>
      <c r="D688" s="2">
        <v>44949</v>
      </c>
      <c r="E688" s="1">
        <v>509</v>
      </c>
      <c r="F688" s="1">
        <v>3.65</v>
      </c>
      <c r="G688" s="1">
        <v>12944</v>
      </c>
      <c r="H688" s="1">
        <v>3.17</v>
      </c>
      <c r="I688" s="1" t="s">
        <v>13</v>
      </c>
      <c r="J688" s="1" t="s">
        <v>20</v>
      </c>
      <c r="K688" s="26">
        <v>2</v>
      </c>
    </row>
    <row r="689" spans="1:11" x14ac:dyDescent="0.25">
      <c r="A689" s="25" t="s">
        <v>18</v>
      </c>
      <c r="B689" s="1" t="s">
        <v>25</v>
      </c>
      <c r="C689" s="2">
        <v>106722</v>
      </c>
      <c r="D689" s="2">
        <v>17766</v>
      </c>
      <c r="E689" s="1">
        <v>473</v>
      </c>
      <c r="F689" s="1">
        <v>1.31</v>
      </c>
      <c r="G689" s="1">
        <v>10137</v>
      </c>
      <c r="H689" s="1">
        <v>24.39</v>
      </c>
      <c r="I689" s="1" t="s">
        <v>26</v>
      </c>
      <c r="J689" s="1" t="s">
        <v>14</v>
      </c>
      <c r="K689" s="26">
        <v>3</v>
      </c>
    </row>
    <row r="690" spans="1:11" x14ac:dyDescent="0.25">
      <c r="A690" s="25" t="s">
        <v>11</v>
      </c>
      <c r="B690" s="1" t="s">
        <v>19</v>
      </c>
      <c r="C690" s="2">
        <v>188756</v>
      </c>
      <c r="D690" s="2">
        <v>27132</v>
      </c>
      <c r="E690" s="1">
        <v>849</v>
      </c>
      <c r="F690" s="1">
        <v>2.42</v>
      </c>
      <c r="G690" s="1">
        <v>10990</v>
      </c>
      <c r="H690" s="1">
        <v>17.36</v>
      </c>
      <c r="I690" s="1" t="s">
        <v>23</v>
      </c>
      <c r="J690" s="1" t="s">
        <v>14</v>
      </c>
      <c r="K690" s="26">
        <v>9</v>
      </c>
    </row>
    <row r="691" spans="1:11" x14ac:dyDescent="0.25">
      <c r="A691" s="25" t="s">
        <v>24</v>
      </c>
      <c r="B691" s="1" t="s">
        <v>19</v>
      </c>
      <c r="C691" s="2">
        <v>40111</v>
      </c>
      <c r="D691" s="2">
        <v>9491</v>
      </c>
      <c r="E691" s="1">
        <v>133</v>
      </c>
      <c r="F691" s="1">
        <v>3.2</v>
      </c>
      <c r="G691" s="1">
        <v>3425</v>
      </c>
      <c r="H691" s="1">
        <v>18.55</v>
      </c>
      <c r="I691" s="1" t="s">
        <v>22</v>
      </c>
      <c r="J691" s="1" t="s">
        <v>17</v>
      </c>
      <c r="K691" s="26">
        <v>9</v>
      </c>
    </row>
    <row r="692" spans="1:11" x14ac:dyDescent="0.25">
      <c r="A692" s="25" t="s">
        <v>24</v>
      </c>
      <c r="B692" s="1" t="s">
        <v>27</v>
      </c>
      <c r="C692" s="2">
        <v>73936</v>
      </c>
      <c r="D692" s="2">
        <v>1138</v>
      </c>
      <c r="E692" s="1">
        <v>122</v>
      </c>
      <c r="F692" s="1">
        <v>2.61</v>
      </c>
      <c r="G692" s="1">
        <v>10324</v>
      </c>
      <c r="H692" s="1">
        <v>23.44</v>
      </c>
      <c r="I692" s="1" t="s">
        <v>22</v>
      </c>
      <c r="J692" s="1" t="s">
        <v>20</v>
      </c>
      <c r="K692" s="26">
        <v>5</v>
      </c>
    </row>
    <row r="693" spans="1:11" x14ac:dyDescent="0.25">
      <c r="A693" s="25" t="s">
        <v>24</v>
      </c>
      <c r="B693" s="1" t="s">
        <v>25</v>
      </c>
      <c r="C693" s="2">
        <v>163686</v>
      </c>
      <c r="D693" s="2">
        <v>1358</v>
      </c>
      <c r="E693" s="1">
        <v>21</v>
      </c>
      <c r="F693" s="1">
        <v>4.33</v>
      </c>
      <c r="G693" s="1">
        <v>6740</v>
      </c>
      <c r="H693" s="1">
        <v>21.1</v>
      </c>
      <c r="I693" s="1" t="s">
        <v>16</v>
      </c>
      <c r="J693" s="1" t="s">
        <v>20</v>
      </c>
      <c r="K693" s="26">
        <v>3</v>
      </c>
    </row>
    <row r="694" spans="1:11" x14ac:dyDescent="0.25">
      <c r="A694" s="25" t="s">
        <v>18</v>
      </c>
      <c r="B694" s="1" t="s">
        <v>25</v>
      </c>
      <c r="C694" s="2">
        <v>183063</v>
      </c>
      <c r="D694" s="2">
        <v>10714</v>
      </c>
      <c r="E694" s="1">
        <v>135</v>
      </c>
      <c r="F694" s="1">
        <v>4.26</v>
      </c>
      <c r="G694" s="1">
        <v>17396</v>
      </c>
      <c r="H694" s="1">
        <v>25.03</v>
      </c>
      <c r="I694" s="1" t="s">
        <v>16</v>
      </c>
      <c r="J694" s="1" t="s">
        <v>17</v>
      </c>
      <c r="K694" s="26">
        <v>2</v>
      </c>
    </row>
    <row r="695" spans="1:11" x14ac:dyDescent="0.25">
      <c r="A695" s="25" t="s">
        <v>15</v>
      </c>
      <c r="B695" s="1" t="s">
        <v>21</v>
      </c>
      <c r="C695" s="2">
        <v>70920</v>
      </c>
      <c r="D695" s="2">
        <v>20840</v>
      </c>
      <c r="E695" s="1">
        <v>574</v>
      </c>
      <c r="F695" s="1">
        <v>3.45</v>
      </c>
      <c r="G695" s="1">
        <v>715</v>
      </c>
      <c r="H695" s="1">
        <v>1.69</v>
      </c>
      <c r="I695" s="1" t="s">
        <v>26</v>
      </c>
      <c r="J695" s="1" t="s">
        <v>14</v>
      </c>
      <c r="K695" s="26">
        <v>8</v>
      </c>
    </row>
    <row r="696" spans="1:11" x14ac:dyDescent="0.25">
      <c r="A696" s="25" t="s">
        <v>24</v>
      </c>
      <c r="B696" s="1" t="s">
        <v>19</v>
      </c>
      <c r="C696" s="2">
        <v>73530</v>
      </c>
      <c r="D696" s="2">
        <v>35395</v>
      </c>
      <c r="E696" s="1">
        <v>340</v>
      </c>
      <c r="F696" s="1">
        <v>2.4900000000000002</v>
      </c>
      <c r="G696" s="1">
        <v>7799</v>
      </c>
      <c r="H696" s="1">
        <v>22.43</v>
      </c>
      <c r="I696" s="1" t="s">
        <v>22</v>
      </c>
      <c r="J696" s="1" t="s">
        <v>20</v>
      </c>
      <c r="K696" s="26">
        <v>6</v>
      </c>
    </row>
    <row r="697" spans="1:11" x14ac:dyDescent="0.25">
      <c r="A697" s="25" t="s">
        <v>15</v>
      </c>
      <c r="B697" s="1" t="s">
        <v>12</v>
      </c>
      <c r="C697" s="2">
        <v>177296</v>
      </c>
      <c r="D697" s="2">
        <v>31654</v>
      </c>
      <c r="E697" s="1">
        <v>910</v>
      </c>
      <c r="F697" s="1">
        <v>2.02</v>
      </c>
      <c r="G697" s="1">
        <v>12023</v>
      </c>
      <c r="H697" s="1">
        <v>25.53</v>
      </c>
      <c r="I697" s="1" t="s">
        <v>22</v>
      </c>
      <c r="J697" s="1" t="s">
        <v>17</v>
      </c>
      <c r="K697" s="26">
        <v>7</v>
      </c>
    </row>
    <row r="698" spans="1:11" x14ac:dyDescent="0.25">
      <c r="A698" s="25" t="s">
        <v>11</v>
      </c>
      <c r="B698" s="1" t="s">
        <v>19</v>
      </c>
      <c r="C698" s="2">
        <v>17788</v>
      </c>
      <c r="D698" s="2">
        <v>26879</v>
      </c>
      <c r="E698" s="1">
        <v>292</v>
      </c>
      <c r="F698" s="1">
        <v>1.42</v>
      </c>
      <c r="G698" s="1">
        <v>10864</v>
      </c>
      <c r="H698" s="1">
        <v>8.58</v>
      </c>
      <c r="I698" s="1" t="s">
        <v>22</v>
      </c>
      <c r="J698" s="1" t="s">
        <v>17</v>
      </c>
      <c r="K698" s="26">
        <v>1</v>
      </c>
    </row>
    <row r="699" spans="1:11" x14ac:dyDescent="0.25">
      <c r="A699" s="25" t="s">
        <v>24</v>
      </c>
      <c r="B699" s="1" t="s">
        <v>19</v>
      </c>
      <c r="C699" s="2">
        <v>38082</v>
      </c>
      <c r="D699" s="2">
        <v>16996</v>
      </c>
      <c r="E699" s="1">
        <v>149</v>
      </c>
      <c r="F699" s="1">
        <v>2.42</v>
      </c>
      <c r="G699" s="1">
        <v>3653</v>
      </c>
      <c r="H699" s="1">
        <v>19.21</v>
      </c>
      <c r="I699" s="1" t="s">
        <v>22</v>
      </c>
      <c r="J699" s="1" t="s">
        <v>20</v>
      </c>
      <c r="K699" s="26">
        <v>1</v>
      </c>
    </row>
    <row r="700" spans="1:11" x14ac:dyDescent="0.25">
      <c r="A700" s="25" t="s">
        <v>24</v>
      </c>
      <c r="B700" s="1" t="s">
        <v>21</v>
      </c>
      <c r="C700" s="2">
        <v>133287</v>
      </c>
      <c r="D700" s="2">
        <v>38772</v>
      </c>
      <c r="E700" s="1">
        <v>410</v>
      </c>
      <c r="F700" s="1">
        <v>2.65</v>
      </c>
      <c r="G700" s="1">
        <v>2206</v>
      </c>
      <c r="H700" s="1">
        <v>9.42</v>
      </c>
      <c r="I700" s="1" t="s">
        <v>13</v>
      </c>
      <c r="J700" s="1" t="s">
        <v>17</v>
      </c>
      <c r="K700" s="26">
        <v>2</v>
      </c>
    </row>
    <row r="701" spans="1:11" x14ac:dyDescent="0.25">
      <c r="A701" s="25" t="s">
        <v>11</v>
      </c>
      <c r="B701" s="1" t="s">
        <v>12</v>
      </c>
      <c r="C701" s="2">
        <v>99570</v>
      </c>
      <c r="D701" s="2">
        <v>27762</v>
      </c>
      <c r="E701" s="1">
        <v>911</v>
      </c>
      <c r="F701" s="1">
        <v>3.7</v>
      </c>
      <c r="G701" s="1">
        <v>10798</v>
      </c>
      <c r="H701" s="1">
        <v>28.74</v>
      </c>
      <c r="I701" s="1" t="s">
        <v>23</v>
      </c>
      <c r="J701" s="1" t="s">
        <v>14</v>
      </c>
      <c r="K701" s="26">
        <v>3</v>
      </c>
    </row>
    <row r="702" spans="1:11" x14ac:dyDescent="0.25">
      <c r="A702" s="25" t="s">
        <v>24</v>
      </c>
      <c r="B702" s="1" t="s">
        <v>21</v>
      </c>
      <c r="C702" s="2">
        <v>111015</v>
      </c>
      <c r="D702" s="2">
        <v>14283</v>
      </c>
      <c r="E702" s="1">
        <v>106</v>
      </c>
      <c r="F702" s="1">
        <v>3.63</v>
      </c>
      <c r="G702" s="1">
        <v>2067</v>
      </c>
      <c r="H702" s="1">
        <v>1</v>
      </c>
      <c r="I702" s="1" t="s">
        <v>23</v>
      </c>
      <c r="J702" s="1" t="s">
        <v>17</v>
      </c>
      <c r="K702" s="26">
        <v>1</v>
      </c>
    </row>
    <row r="703" spans="1:11" x14ac:dyDescent="0.25">
      <c r="A703" s="25" t="s">
        <v>15</v>
      </c>
      <c r="B703" s="1" t="s">
        <v>12</v>
      </c>
      <c r="C703" s="2">
        <v>93588</v>
      </c>
      <c r="D703" s="2">
        <v>40420</v>
      </c>
      <c r="E703" s="1">
        <v>526</v>
      </c>
      <c r="F703" s="1">
        <v>1.28</v>
      </c>
      <c r="G703" s="1">
        <v>10900</v>
      </c>
      <c r="H703" s="1">
        <v>17.39</v>
      </c>
      <c r="I703" s="1" t="s">
        <v>26</v>
      </c>
      <c r="J703" s="1" t="s">
        <v>14</v>
      </c>
      <c r="K703" s="26">
        <v>5</v>
      </c>
    </row>
    <row r="704" spans="1:11" x14ac:dyDescent="0.25">
      <c r="A704" s="25" t="s">
        <v>18</v>
      </c>
      <c r="B704" s="1" t="s">
        <v>27</v>
      </c>
      <c r="C704" s="2">
        <v>157603</v>
      </c>
      <c r="D704" s="2">
        <v>20554</v>
      </c>
      <c r="E704" s="1">
        <v>578</v>
      </c>
      <c r="F704" s="1">
        <v>2.58</v>
      </c>
      <c r="G704" s="1">
        <v>10845</v>
      </c>
      <c r="H704" s="1">
        <v>5</v>
      </c>
      <c r="I704" s="1" t="s">
        <v>13</v>
      </c>
      <c r="J704" s="1" t="s">
        <v>14</v>
      </c>
      <c r="K704" s="26">
        <v>3</v>
      </c>
    </row>
    <row r="705" spans="1:11" x14ac:dyDescent="0.25">
      <c r="A705" s="25" t="s">
        <v>15</v>
      </c>
      <c r="B705" s="1" t="s">
        <v>12</v>
      </c>
      <c r="C705" s="2">
        <v>98340</v>
      </c>
      <c r="D705" s="2">
        <v>21219</v>
      </c>
      <c r="E705" s="1">
        <v>933</v>
      </c>
      <c r="F705" s="1">
        <v>1.73</v>
      </c>
      <c r="G705" s="1">
        <v>1628</v>
      </c>
      <c r="H705" s="1">
        <v>21.37</v>
      </c>
      <c r="I705" s="1" t="s">
        <v>22</v>
      </c>
      <c r="J705" s="1" t="s">
        <v>20</v>
      </c>
      <c r="K705" s="26">
        <v>1</v>
      </c>
    </row>
    <row r="706" spans="1:11" x14ac:dyDescent="0.25">
      <c r="A706" s="25" t="s">
        <v>18</v>
      </c>
      <c r="B706" s="1" t="s">
        <v>21</v>
      </c>
      <c r="C706" s="2">
        <v>104439</v>
      </c>
      <c r="D706" s="2">
        <v>35919</v>
      </c>
      <c r="E706" s="1">
        <v>855</v>
      </c>
      <c r="F706" s="1">
        <v>1.63</v>
      </c>
      <c r="G706" s="1">
        <v>8367</v>
      </c>
      <c r="H706" s="1">
        <v>5.28</v>
      </c>
      <c r="I706" s="1" t="s">
        <v>22</v>
      </c>
      <c r="J706" s="1" t="s">
        <v>17</v>
      </c>
      <c r="K706" s="26">
        <v>8</v>
      </c>
    </row>
    <row r="707" spans="1:11" x14ac:dyDescent="0.25">
      <c r="A707" s="25" t="s">
        <v>18</v>
      </c>
      <c r="B707" s="1" t="s">
        <v>19</v>
      </c>
      <c r="C707" s="2">
        <v>185929</v>
      </c>
      <c r="D707" s="2">
        <v>10429</v>
      </c>
      <c r="E707" s="1">
        <v>78</v>
      </c>
      <c r="F707" s="1">
        <v>4.3099999999999996</v>
      </c>
      <c r="G707" s="1">
        <v>19249</v>
      </c>
      <c r="H707" s="1">
        <v>7.06</v>
      </c>
      <c r="I707" s="1" t="s">
        <v>16</v>
      </c>
      <c r="J707" s="1" t="s">
        <v>14</v>
      </c>
      <c r="K707" s="26">
        <v>6</v>
      </c>
    </row>
    <row r="708" spans="1:11" x14ac:dyDescent="0.25">
      <c r="A708" s="25" t="s">
        <v>15</v>
      </c>
      <c r="B708" s="1" t="s">
        <v>12</v>
      </c>
      <c r="C708" s="2">
        <v>151214</v>
      </c>
      <c r="D708" s="2">
        <v>47840</v>
      </c>
      <c r="E708" s="1">
        <v>127</v>
      </c>
      <c r="F708" s="1">
        <v>1.17</v>
      </c>
      <c r="G708" s="1">
        <v>6083</v>
      </c>
      <c r="H708" s="1">
        <v>14.83</v>
      </c>
      <c r="I708" s="1" t="s">
        <v>16</v>
      </c>
      <c r="J708" s="1" t="s">
        <v>14</v>
      </c>
      <c r="K708" s="26">
        <v>9</v>
      </c>
    </row>
    <row r="709" spans="1:11" x14ac:dyDescent="0.25">
      <c r="A709" s="25" t="s">
        <v>15</v>
      </c>
      <c r="B709" s="1" t="s">
        <v>12</v>
      </c>
      <c r="C709" s="2">
        <v>125053</v>
      </c>
      <c r="D709" s="2">
        <v>45695</v>
      </c>
      <c r="E709" s="1">
        <v>897</v>
      </c>
      <c r="F709" s="1">
        <v>2.68</v>
      </c>
      <c r="G709" s="1">
        <v>5397</v>
      </c>
      <c r="H709" s="1">
        <v>27.45</v>
      </c>
      <c r="I709" s="1" t="s">
        <v>26</v>
      </c>
      <c r="J709" s="1" t="s">
        <v>17</v>
      </c>
      <c r="K709" s="26">
        <v>3</v>
      </c>
    </row>
    <row r="710" spans="1:11" x14ac:dyDescent="0.25">
      <c r="A710" s="25" t="s">
        <v>15</v>
      </c>
      <c r="B710" s="1" t="s">
        <v>25</v>
      </c>
      <c r="C710" s="2">
        <v>58355</v>
      </c>
      <c r="D710" s="2">
        <v>40673</v>
      </c>
      <c r="E710" s="1">
        <v>68</v>
      </c>
      <c r="F710" s="1">
        <v>1.67</v>
      </c>
      <c r="G710" s="1">
        <v>6501</v>
      </c>
      <c r="H710" s="1">
        <v>6.35</v>
      </c>
      <c r="I710" s="1" t="s">
        <v>22</v>
      </c>
      <c r="J710" s="1" t="s">
        <v>14</v>
      </c>
      <c r="K710" s="26">
        <v>9</v>
      </c>
    </row>
    <row r="711" spans="1:11" x14ac:dyDescent="0.25">
      <c r="A711" s="25" t="s">
        <v>15</v>
      </c>
      <c r="B711" s="1" t="s">
        <v>19</v>
      </c>
      <c r="C711" s="2">
        <v>150938</v>
      </c>
      <c r="D711" s="2">
        <v>20218</v>
      </c>
      <c r="E711" s="1">
        <v>42</v>
      </c>
      <c r="F711" s="1">
        <v>4.5199999999999996</v>
      </c>
      <c r="G711" s="1">
        <v>11613</v>
      </c>
      <c r="H711" s="1">
        <v>4.33</v>
      </c>
      <c r="I711" s="1" t="s">
        <v>26</v>
      </c>
      <c r="J711" s="1" t="s">
        <v>17</v>
      </c>
      <c r="K711" s="26">
        <v>9</v>
      </c>
    </row>
    <row r="712" spans="1:11" x14ac:dyDescent="0.25">
      <c r="A712" s="25" t="s">
        <v>11</v>
      </c>
      <c r="B712" s="1" t="s">
        <v>27</v>
      </c>
      <c r="C712" s="2">
        <v>135426</v>
      </c>
      <c r="D712" s="2">
        <v>13452</v>
      </c>
      <c r="E712" s="1">
        <v>327</v>
      </c>
      <c r="F712" s="1">
        <v>3.23</v>
      </c>
      <c r="G712" s="1">
        <v>5067</v>
      </c>
      <c r="H712" s="1">
        <v>22.77</v>
      </c>
      <c r="I712" s="1" t="s">
        <v>13</v>
      </c>
      <c r="J712" s="1" t="s">
        <v>20</v>
      </c>
      <c r="K712" s="26">
        <v>1</v>
      </c>
    </row>
    <row r="713" spans="1:11" x14ac:dyDescent="0.25">
      <c r="A713" s="25" t="s">
        <v>24</v>
      </c>
      <c r="B713" s="1" t="s">
        <v>21</v>
      </c>
      <c r="C713" s="2">
        <v>74027</v>
      </c>
      <c r="D713" s="2">
        <v>49980</v>
      </c>
      <c r="E713" s="1">
        <v>59</v>
      </c>
      <c r="F713" s="1">
        <v>1.93</v>
      </c>
      <c r="G713" s="1">
        <v>9771</v>
      </c>
      <c r="H713" s="1">
        <v>15.02</v>
      </c>
      <c r="I713" s="1" t="s">
        <v>23</v>
      </c>
      <c r="J713" s="1" t="s">
        <v>14</v>
      </c>
      <c r="K713" s="26">
        <v>3</v>
      </c>
    </row>
    <row r="714" spans="1:11" x14ac:dyDescent="0.25">
      <c r="A714" s="25" t="s">
        <v>18</v>
      </c>
      <c r="B714" s="1" t="s">
        <v>27</v>
      </c>
      <c r="C714" s="2">
        <v>198978</v>
      </c>
      <c r="D714" s="2">
        <v>19951</v>
      </c>
      <c r="E714" s="1">
        <v>889</v>
      </c>
      <c r="F714" s="1">
        <v>3.01</v>
      </c>
      <c r="G714" s="1">
        <v>14848</v>
      </c>
      <c r="H714" s="1">
        <v>27.35</v>
      </c>
      <c r="I714" s="1" t="s">
        <v>22</v>
      </c>
      <c r="J714" s="1" t="s">
        <v>14</v>
      </c>
      <c r="K714" s="26">
        <v>6</v>
      </c>
    </row>
    <row r="715" spans="1:11" x14ac:dyDescent="0.25">
      <c r="A715" s="25" t="s">
        <v>15</v>
      </c>
      <c r="B715" s="1" t="s">
        <v>19</v>
      </c>
      <c r="C715" s="2">
        <v>169210</v>
      </c>
      <c r="D715" s="2">
        <v>2307</v>
      </c>
      <c r="E715" s="1">
        <v>498</v>
      </c>
      <c r="F715" s="1">
        <v>3.93</v>
      </c>
      <c r="G715" s="1">
        <v>12203</v>
      </c>
      <c r="H715" s="1">
        <v>4.4000000000000004</v>
      </c>
      <c r="I715" s="1" t="s">
        <v>13</v>
      </c>
      <c r="J715" s="1" t="s">
        <v>17</v>
      </c>
      <c r="K715" s="26">
        <v>8</v>
      </c>
    </row>
    <row r="716" spans="1:11" x14ac:dyDescent="0.25">
      <c r="A716" s="25" t="s">
        <v>15</v>
      </c>
      <c r="B716" s="1" t="s">
        <v>12</v>
      </c>
      <c r="C716" s="2">
        <v>102601</v>
      </c>
      <c r="D716" s="2">
        <v>15852</v>
      </c>
      <c r="E716" s="1">
        <v>28</v>
      </c>
      <c r="F716" s="1">
        <v>4.83</v>
      </c>
      <c r="G716" s="1">
        <v>13829</v>
      </c>
      <c r="H716" s="1">
        <v>19.38</v>
      </c>
      <c r="I716" s="1" t="s">
        <v>22</v>
      </c>
      <c r="J716" s="1" t="s">
        <v>17</v>
      </c>
      <c r="K716" s="26">
        <v>4</v>
      </c>
    </row>
    <row r="717" spans="1:11" x14ac:dyDescent="0.25">
      <c r="A717" s="25" t="s">
        <v>15</v>
      </c>
      <c r="B717" s="1" t="s">
        <v>12</v>
      </c>
      <c r="C717" s="2">
        <v>39956</v>
      </c>
      <c r="D717" s="2">
        <v>26232</v>
      </c>
      <c r="E717" s="1">
        <v>735</v>
      </c>
      <c r="F717" s="1">
        <v>1.88</v>
      </c>
      <c r="G717" s="1">
        <v>3241</v>
      </c>
      <c r="H717" s="1">
        <v>6.99</v>
      </c>
      <c r="I717" s="1" t="s">
        <v>16</v>
      </c>
      <c r="J717" s="1" t="s">
        <v>17</v>
      </c>
      <c r="K717" s="26">
        <v>5</v>
      </c>
    </row>
    <row r="718" spans="1:11" x14ac:dyDescent="0.25">
      <c r="A718" s="25" t="s">
        <v>11</v>
      </c>
      <c r="B718" s="1" t="s">
        <v>19</v>
      </c>
      <c r="C718" s="2">
        <v>114797</v>
      </c>
      <c r="D718" s="2">
        <v>36428</v>
      </c>
      <c r="E718" s="1">
        <v>206</v>
      </c>
      <c r="F718" s="1">
        <v>4.54</v>
      </c>
      <c r="G718" s="1">
        <v>19904</v>
      </c>
      <c r="H718" s="1">
        <v>4.7</v>
      </c>
      <c r="I718" s="1" t="s">
        <v>26</v>
      </c>
      <c r="J718" s="1" t="s">
        <v>17</v>
      </c>
      <c r="K718" s="26">
        <v>9</v>
      </c>
    </row>
    <row r="719" spans="1:11" x14ac:dyDescent="0.25">
      <c r="A719" s="25" t="s">
        <v>15</v>
      </c>
      <c r="B719" s="1" t="s">
        <v>12</v>
      </c>
      <c r="C719" s="2">
        <v>134917</v>
      </c>
      <c r="D719" s="2">
        <v>44171</v>
      </c>
      <c r="E719" s="1">
        <v>900</v>
      </c>
      <c r="F719" s="1">
        <v>4.74</v>
      </c>
      <c r="G719" s="1">
        <v>6756</v>
      </c>
      <c r="H719" s="1">
        <v>20.5</v>
      </c>
      <c r="I719" s="1" t="s">
        <v>16</v>
      </c>
      <c r="J719" s="1" t="s">
        <v>14</v>
      </c>
      <c r="K719" s="26">
        <v>6</v>
      </c>
    </row>
    <row r="720" spans="1:11" x14ac:dyDescent="0.25">
      <c r="A720" s="25" t="s">
        <v>15</v>
      </c>
      <c r="B720" s="1" t="s">
        <v>12</v>
      </c>
      <c r="C720" s="2">
        <v>136303</v>
      </c>
      <c r="D720" s="2">
        <v>27485</v>
      </c>
      <c r="E720" s="1">
        <v>459</v>
      </c>
      <c r="F720" s="1">
        <v>4.67</v>
      </c>
      <c r="G720" s="1">
        <v>728</v>
      </c>
      <c r="H720" s="1">
        <v>17.809999999999999</v>
      </c>
      <c r="I720" s="1" t="s">
        <v>23</v>
      </c>
      <c r="J720" s="1" t="s">
        <v>20</v>
      </c>
      <c r="K720" s="26">
        <v>7</v>
      </c>
    </row>
    <row r="721" spans="1:11" x14ac:dyDescent="0.25">
      <c r="A721" s="25" t="s">
        <v>15</v>
      </c>
      <c r="B721" s="1" t="s">
        <v>12</v>
      </c>
      <c r="C721" s="2">
        <v>146511</v>
      </c>
      <c r="D721" s="2">
        <v>11238</v>
      </c>
      <c r="E721" s="1">
        <v>999</v>
      </c>
      <c r="F721" s="1">
        <v>3.54</v>
      </c>
      <c r="G721" s="1">
        <v>17178</v>
      </c>
      <c r="H721" s="1">
        <v>22.64</v>
      </c>
      <c r="I721" s="1" t="s">
        <v>16</v>
      </c>
      <c r="J721" s="1" t="s">
        <v>20</v>
      </c>
      <c r="K721" s="26">
        <v>7</v>
      </c>
    </row>
    <row r="722" spans="1:11" x14ac:dyDescent="0.25">
      <c r="A722" s="25" t="s">
        <v>24</v>
      </c>
      <c r="B722" s="1" t="s">
        <v>21</v>
      </c>
      <c r="C722" s="2">
        <v>188313</v>
      </c>
      <c r="D722" s="2">
        <v>39975</v>
      </c>
      <c r="E722" s="1">
        <v>568</v>
      </c>
      <c r="F722" s="1">
        <v>3.52</v>
      </c>
      <c r="G722" s="1">
        <v>4784</v>
      </c>
      <c r="H722" s="1">
        <v>9.2799999999999994</v>
      </c>
      <c r="I722" s="1" t="s">
        <v>22</v>
      </c>
      <c r="J722" s="1" t="s">
        <v>20</v>
      </c>
      <c r="K722" s="26">
        <v>4</v>
      </c>
    </row>
    <row r="723" spans="1:11" x14ac:dyDescent="0.25">
      <c r="A723" s="25" t="s">
        <v>11</v>
      </c>
      <c r="B723" s="1" t="s">
        <v>21</v>
      </c>
      <c r="C723" s="2">
        <v>52533</v>
      </c>
      <c r="D723" s="2">
        <v>2140</v>
      </c>
      <c r="E723" s="1">
        <v>688</v>
      </c>
      <c r="F723" s="1">
        <v>2.61</v>
      </c>
      <c r="G723" s="1">
        <v>13764</v>
      </c>
      <c r="H723" s="1">
        <v>13.44</v>
      </c>
      <c r="I723" s="1" t="s">
        <v>16</v>
      </c>
      <c r="J723" s="1" t="s">
        <v>20</v>
      </c>
      <c r="K723" s="26">
        <v>4</v>
      </c>
    </row>
    <row r="724" spans="1:11" x14ac:dyDescent="0.25">
      <c r="A724" s="25" t="s">
        <v>15</v>
      </c>
      <c r="B724" s="1" t="s">
        <v>25</v>
      </c>
      <c r="C724" s="2">
        <v>169342</v>
      </c>
      <c r="D724" s="2">
        <v>25842</v>
      </c>
      <c r="E724" s="1">
        <v>461</v>
      </c>
      <c r="F724" s="1">
        <v>4.01</v>
      </c>
      <c r="G724" s="1">
        <v>13890</v>
      </c>
      <c r="H724" s="1">
        <v>12.16</v>
      </c>
      <c r="I724" s="1" t="s">
        <v>22</v>
      </c>
      <c r="J724" s="1" t="s">
        <v>17</v>
      </c>
      <c r="K724" s="26">
        <v>4</v>
      </c>
    </row>
    <row r="725" spans="1:11" x14ac:dyDescent="0.25">
      <c r="A725" s="25" t="s">
        <v>18</v>
      </c>
      <c r="B725" s="1" t="s">
        <v>27</v>
      </c>
      <c r="C725" s="2">
        <v>88815</v>
      </c>
      <c r="D725" s="2">
        <v>27421</v>
      </c>
      <c r="E725" s="1">
        <v>298</v>
      </c>
      <c r="F725" s="1">
        <v>3.13</v>
      </c>
      <c r="G725" s="1">
        <v>1418</v>
      </c>
      <c r="H725" s="1">
        <v>29.52</v>
      </c>
      <c r="I725" s="1" t="s">
        <v>23</v>
      </c>
      <c r="J725" s="1" t="s">
        <v>14</v>
      </c>
      <c r="K725" s="26">
        <v>5</v>
      </c>
    </row>
    <row r="726" spans="1:11" x14ac:dyDescent="0.25">
      <c r="A726" s="25" t="s">
        <v>18</v>
      </c>
      <c r="B726" s="1" t="s">
        <v>19</v>
      </c>
      <c r="C726" s="2">
        <v>49279</v>
      </c>
      <c r="D726" s="2">
        <v>2708</v>
      </c>
      <c r="E726" s="1">
        <v>150</v>
      </c>
      <c r="F726" s="1">
        <v>3.71</v>
      </c>
      <c r="G726" s="1">
        <v>11945</v>
      </c>
      <c r="H726" s="1">
        <v>8.77</v>
      </c>
      <c r="I726" s="1" t="s">
        <v>16</v>
      </c>
      <c r="J726" s="1" t="s">
        <v>14</v>
      </c>
      <c r="K726" s="26">
        <v>5</v>
      </c>
    </row>
    <row r="727" spans="1:11" x14ac:dyDescent="0.25">
      <c r="A727" s="25" t="s">
        <v>18</v>
      </c>
      <c r="B727" s="1" t="s">
        <v>19</v>
      </c>
      <c r="C727" s="2">
        <v>119787</v>
      </c>
      <c r="D727" s="2">
        <v>4630</v>
      </c>
      <c r="E727" s="1">
        <v>93</v>
      </c>
      <c r="F727" s="1">
        <v>2.71</v>
      </c>
      <c r="G727" s="1">
        <v>998</v>
      </c>
      <c r="H727" s="1">
        <v>8.84</v>
      </c>
      <c r="I727" s="1" t="s">
        <v>26</v>
      </c>
      <c r="J727" s="1" t="s">
        <v>14</v>
      </c>
      <c r="K727" s="26">
        <v>8</v>
      </c>
    </row>
    <row r="728" spans="1:11" x14ac:dyDescent="0.25">
      <c r="A728" s="25" t="s">
        <v>11</v>
      </c>
      <c r="B728" s="1" t="s">
        <v>19</v>
      </c>
      <c r="C728" s="2">
        <v>164960</v>
      </c>
      <c r="D728" s="2">
        <v>20595</v>
      </c>
      <c r="E728" s="1">
        <v>703</v>
      </c>
      <c r="F728" s="1">
        <v>3.93</v>
      </c>
      <c r="G728" s="1">
        <v>3309</v>
      </c>
      <c r="H728" s="1">
        <v>10.64</v>
      </c>
      <c r="I728" s="1" t="s">
        <v>26</v>
      </c>
      <c r="J728" s="1" t="s">
        <v>17</v>
      </c>
      <c r="K728" s="26">
        <v>9</v>
      </c>
    </row>
    <row r="729" spans="1:11" x14ac:dyDescent="0.25">
      <c r="A729" s="25" t="s">
        <v>11</v>
      </c>
      <c r="B729" s="1" t="s">
        <v>25</v>
      </c>
      <c r="C729" s="2">
        <v>158702</v>
      </c>
      <c r="D729" s="2">
        <v>11485</v>
      </c>
      <c r="E729" s="1">
        <v>400</v>
      </c>
      <c r="F729" s="1">
        <v>4.3</v>
      </c>
      <c r="G729" s="1">
        <v>5461</v>
      </c>
      <c r="H729" s="1">
        <v>16.940000000000001</v>
      </c>
      <c r="I729" s="1" t="s">
        <v>26</v>
      </c>
      <c r="J729" s="1" t="s">
        <v>14</v>
      </c>
      <c r="K729" s="26">
        <v>2</v>
      </c>
    </row>
    <row r="730" spans="1:11" x14ac:dyDescent="0.25">
      <c r="A730" s="25" t="s">
        <v>18</v>
      </c>
      <c r="B730" s="1" t="s">
        <v>21</v>
      </c>
      <c r="C730" s="2">
        <v>71063</v>
      </c>
      <c r="D730" s="2">
        <v>29308</v>
      </c>
      <c r="E730" s="1">
        <v>600</v>
      </c>
      <c r="F730" s="1">
        <v>1.59</v>
      </c>
      <c r="G730" s="1">
        <v>9517</v>
      </c>
      <c r="H730" s="1">
        <v>7.57</v>
      </c>
      <c r="I730" s="1" t="s">
        <v>16</v>
      </c>
      <c r="J730" s="1" t="s">
        <v>17</v>
      </c>
      <c r="K730" s="26">
        <v>7</v>
      </c>
    </row>
    <row r="731" spans="1:11" x14ac:dyDescent="0.25">
      <c r="A731" s="25" t="s">
        <v>15</v>
      </c>
      <c r="B731" s="1" t="s">
        <v>25</v>
      </c>
      <c r="C731" s="2">
        <v>137896</v>
      </c>
      <c r="D731" s="2">
        <v>45789</v>
      </c>
      <c r="E731" s="1">
        <v>224</v>
      </c>
      <c r="F731" s="1">
        <v>4.33</v>
      </c>
      <c r="G731" s="1">
        <v>4279</v>
      </c>
      <c r="H731" s="1">
        <v>27.46</v>
      </c>
      <c r="I731" s="1" t="s">
        <v>16</v>
      </c>
      <c r="J731" s="1" t="s">
        <v>14</v>
      </c>
      <c r="K731" s="26">
        <v>1</v>
      </c>
    </row>
    <row r="732" spans="1:11" x14ac:dyDescent="0.25">
      <c r="A732" s="25" t="s">
        <v>11</v>
      </c>
      <c r="B732" s="1" t="s">
        <v>19</v>
      </c>
      <c r="C732" s="2">
        <v>176216</v>
      </c>
      <c r="D732" s="2">
        <v>27086</v>
      </c>
      <c r="E732" s="1">
        <v>535</v>
      </c>
      <c r="F732" s="1">
        <v>3.16</v>
      </c>
      <c r="G732" s="1">
        <v>10550</v>
      </c>
      <c r="H732" s="1">
        <v>7.97</v>
      </c>
      <c r="I732" s="1" t="s">
        <v>16</v>
      </c>
      <c r="J732" s="1" t="s">
        <v>20</v>
      </c>
      <c r="K732" s="26">
        <v>1</v>
      </c>
    </row>
    <row r="733" spans="1:11" x14ac:dyDescent="0.25">
      <c r="A733" s="25" t="s">
        <v>18</v>
      </c>
      <c r="B733" s="1" t="s">
        <v>27</v>
      </c>
      <c r="C733" s="2">
        <v>193233</v>
      </c>
      <c r="D733" s="2">
        <v>17859</v>
      </c>
      <c r="E733" s="1">
        <v>224</v>
      </c>
      <c r="F733" s="1">
        <v>4.38</v>
      </c>
      <c r="G733" s="1">
        <v>2618</v>
      </c>
      <c r="H733" s="1">
        <v>26.87</v>
      </c>
      <c r="I733" s="1" t="s">
        <v>22</v>
      </c>
      <c r="J733" s="1" t="s">
        <v>17</v>
      </c>
      <c r="K733" s="26">
        <v>4</v>
      </c>
    </row>
    <row r="734" spans="1:11" x14ac:dyDescent="0.25">
      <c r="A734" s="25" t="s">
        <v>18</v>
      </c>
      <c r="B734" s="1" t="s">
        <v>12</v>
      </c>
      <c r="C734" s="2">
        <v>192051</v>
      </c>
      <c r="D734" s="2">
        <v>8684</v>
      </c>
      <c r="E734" s="1">
        <v>412</v>
      </c>
      <c r="F734" s="1">
        <v>2.73</v>
      </c>
      <c r="G734" s="1">
        <v>6891</v>
      </c>
      <c r="H734" s="1">
        <v>3.1</v>
      </c>
      <c r="I734" s="1" t="s">
        <v>23</v>
      </c>
      <c r="J734" s="1" t="s">
        <v>14</v>
      </c>
      <c r="K734" s="26">
        <v>7</v>
      </c>
    </row>
    <row r="735" spans="1:11" x14ac:dyDescent="0.25">
      <c r="A735" s="25" t="s">
        <v>15</v>
      </c>
      <c r="B735" s="1" t="s">
        <v>21</v>
      </c>
      <c r="C735" s="2">
        <v>107661</v>
      </c>
      <c r="D735" s="2">
        <v>26552</v>
      </c>
      <c r="E735" s="1">
        <v>137</v>
      </c>
      <c r="F735" s="1">
        <v>2.52</v>
      </c>
      <c r="G735" s="1">
        <v>645</v>
      </c>
      <c r="H735" s="1">
        <v>19.7</v>
      </c>
      <c r="I735" s="1" t="s">
        <v>26</v>
      </c>
      <c r="J735" s="1" t="s">
        <v>20</v>
      </c>
      <c r="K735" s="26">
        <v>2</v>
      </c>
    </row>
    <row r="736" spans="1:11" x14ac:dyDescent="0.25">
      <c r="A736" s="25" t="s">
        <v>24</v>
      </c>
      <c r="B736" s="1" t="s">
        <v>21</v>
      </c>
      <c r="C736" s="2">
        <v>148051</v>
      </c>
      <c r="D736" s="2">
        <v>2207</v>
      </c>
      <c r="E736" s="1">
        <v>831</v>
      </c>
      <c r="F736" s="1">
        <v>4.66</v>
      </c>
      <c r="G736" s="1">
        <v>14429</v>
      </c>
      <c r="H736" s="1">
        <v>27.21</v>
      </c>
      <c r="I736" s="1" t="s">
        <v>22</v>
      </c>
      <c r="J736" s="1" t="s">
        <v>20</v>
      </c>
      <c r="K736" s="26">
        <v>2</v>
      </c>
    </row>
    <row r="737" spans="1:11" x14ac:dyDescent="0.25">
      <c r="A737" s="25" t="s">
        <v>11</v>
      </c>
      <c r="B737" s="1" t="s">
        <v>25</v>
      </c>
      <c r="C737" s="2">
        <v>167261</v>
      </c>
      <c r="D737" s="2">
        <v>47099</v>
      </c>
      <c r="E737" s="1">
        <v>486</v>
      </c>
      <c r="F737" s="1">
        <v>2</v>
      </c>
      <c r="G737" s="1">
        <v>15417</v>
      </c>
      <c r="H737" s="1">
        <v>5.0599999999999996</v>
      </c>
      <c r="I737" s="1" t="s">
        <v>26</v>
      </c>
      <c r="J737" s="1" t="s">
        <v>20</v>
      </c>
      <c r="K737" s="26">
        <v>1</v>
      </c>
    </row>
    <row r="738" spans="1:11" x14ac:dyDescent="0.25">
      <c r="A738" s="25" t="s">
        <v>15</v>
      </c>
      <c r="B738" s="1" t="s">
        <v>21</v>
      </c>
      <c r="C738" s="2">
        <v>183672</v>
      </c>
      <c r="D738" s="2">
        <v>2960</v>
      </c>
      <c r="E738" s="1">
        <v>769</v>
      </c>
      <c r="F738" s="1">
        <v>4.38</v>
      </c>
      <c r="G738" s="1">
        <v>5065</v>
      </c>
      <c r="H738" s="1">
        <v>29.05</v>
      </c>
      <c r="I738" s="1" t="s">
        <v>22</v>
      </c>
      <c r="J738" s="1" t="s">
        <v>17</v>
      </c>
      <c r="K738" s="26">
        <v>2</v>
      </c>
    </row>
    <row r="739" spans="1:11" x14ac:dyDescent="0.25">
      <c r="A739" s="25" t="s">
        <v>18</v>
      </c>
      <c r="B739" s="1" t="s">
        <v>19</v>
      </c>
      <c r="C739" s="2">
        <v>133257</v>
      </c>
      <c r="D739" s="2">
        <v>1557</v>
      </c>
      <c r="E739" s="1">
        <v>413</v>
      </c>
      <c r="F739" s="1">
        <v>2.94</v>
      </c>
      <c r="G739" s="1">
        <v>17076</v>
      </c>
      <c r="H739" s="1">
        <v>13.59</v>
      </c>
      <c r="I739" s="1" t="s">
        <v>16</v>
      </c>
      <c r="J739" s="1" t="s">
        <v>17</v>
      </c>
      <c r="K739" s="26">
        <v>7</v>
      </c>
    </row>
    <row r="740" spans="1:11" x14ac:dyDescent="0.25">
      <c r="A740" s="25" t="s">
        <v>18</v>
      </c>
      <c r="B740" s="1" t="s">
        <v>19</v>
      </c>
      <c r="C740" s="2">
        <v>96205</v>
      </c>
      <c r="D740" s="2">
        <v>30689</v>
      </c>
      <c r="E740" s="1">
        <v>38</v>
      </c>
      <c r="F740" s="1">
        <v>3.06</v>
      </c>
      <c r="G740" s="1">
        <v>7137</v>
      </c>
      <c r="H740" s="1">
        <v>28.37</v>
      </c>
      <c r="I740" s="1" t="s">
        <v>26</v>
      </c>
      <c r="J740" s="1" t="s">
        <v>14</v>
      </c>
      <c r="K740" s="26">
        <v>9</v>
      </c>
    </row>
    <row r="741" spans="1:11" x14ac:dyDescent="0.25">
      <c r="A741" s="25" t="s">
        <v>15</v>
      </c>
      <c r="B741" s="1" t="s">
        <v>25</v>
      </c>
      <c r="C741" s="2">
        <v>16910</v>
      </c>
      <c r="D741" s="2">
        <v>49651</v>
      </c>
      <c r="E741" s="1">
        <v>801</v>
      </c>
      <c r="F741" s="1">
        <v>2.23</v>
      </c>
      <c r="G741" s="1">
        <v>8743</v>
      </c>
      <c r="H741" s="1">
        <v>20.3</v>
      </c>
      <c r="I741" s="1" t="s">
        <v>16</v>
      </c>
      <c r="J741" s="1" t="s">
        <v>20</v>
      </c>
      <c r="K741" s="26">
        <v>6</v>
      </c>
    </row>
    <row r="742" spans="1:11" x14ac:dyDescent="0.25">
      <c r="A742" s="25" t="s">
        <v>11</v>
      </c>
      <c r="B742" s="1" t="s">
        <v>19</v>
      </c>
      <c r="C742" s="2">
        <v>198785</v>
      </c>
      <c r="D742" s="2">
        <v>14893</v>
      </c>
      <c r="E742" s="1">
        <v>347</v>
      </c>
      <c r="F742" s="1">
        <v>3.29</v>
      </c>
      <c r="G742" s="1">
        <v>2910</v>
      </c>
      <c r="H742" s="1">
        <v>9.0500000000000007</v>
      </c>
      <c r="I742" s="1" t="s">
        <v>26</v>
      </c>
      <c r="J742" s="1" t="s">
        <v>14</v>
      </c>
      <c r="K742" s="26">
        <v>2</v>
      </c>
    </row>
    <row r="743" spans="1:11" x14ac:dyDescent="0.25">
      <c r="A743" s="25" t="s">
        <v>24</v>
      </c>
      <c r="B743" s="1" t="s">
        <v>27</v>
      </c>
      <c r="C743" s="2">
        <v>56857</v>
      </c>
      <c r="D743" s="2">
        <v>33272</v>
      </c>
      <c r="E743" s="1">
        <v>840</v>
      </c>
      <c r="F743" s="1">
        <v>2.2999999999999998</v>
      </c>
      <c r="G743" s="1">
        <v>2320</v>
      </c>
      <c r="H743" s="1">
        <v>5.65</v>
      </c>
      <c r="I743" s="1" t="s">
        <v>13</v>
      </c>
      <c r="J743" s="1" t="s">
        <v>14</v>
      </c>
      <c r="K743" s="26">
        <v>9</v>
      </c>
    </row>
    <row r="744" spans="1:11" x14ac:dyDescent="0.25">
      <c r="A744" s="25" t="s">
        <v>24</v>
      </c>
      <c r="B744" s="1" t="s">
        <v>25</v>
      </c>
      <c r="C744" s="2">
        <v>44964</v>
      </c>
      <c r="D744" s="2">
        <v>1882</v>
      </c>
      <c r="E744" s="1">
        <v>723</v>
      </c>
      <c r="F744" s="1">
        <v>1.1599999999999999</v>
      </c>
      <c r="G744" s="1">
        <v>19848</v>
      </c>
      <c r="H744" s="1">
        <v>9.11</v>
      </c>
      <c r="I744" s="1" t="s">
        <v>22</v>
      </c>
      <c r="J744" s="1" t="s">
        <v>20</v>
      </c>
      <c r="K744" s="26">
        <v>7</v>
      </c>
    </row>
    <row r="745" spans="1:11" x14ac:dyDescent="0.25">
      <c r="A745" s="25" t="s">
        <v>18</v>
      </c>
      <c r="B745" s="1" t="s">
        <v>27</v>
      </c>
      <c r="C745" s="2">
        <v>166299</v>
      </c>
      <c r="D745" s="2">
        <v>38529</v>
      </c>
      <c r="E745" s="1">
        <v>370</v>
      </c>
      <c r="F745" s="1">
        <v>2.09</v>
      </c>
      <c r="G745" s="1">
        <v>3021</v>
      </c>
      <c r="H745" s="1">
        <v>2.79</v>
      </c>
      <c r="I745" s="1" t="s">
        <v>13</v>
      </c>
      <c r="J745" s="1" t="s">
        <v>14</v>
      </c>
      <c r="K745" s="26">
        <v>1</v>
      </c>
    </row>
    <row r="746" spans="1:11" x14ac:dyDescent="0.25">
      <c r="A746" s="25" t="s">
        <v>11</v>
      </c>
      <c r="B746" s="1" t="s">
        <v>12</v>
      </c>
      <c r="C746" s="2">
        <v>147050</v>
      </c>
      <c r="D746" s="2">
        <v>39635</v>
      </c>
      <c r="E746" s="1">
        <v>578</v>
      </c>
      <c r="F746" s="1">
        <v>1.03</v>
      </c>
      <c r="G746" s="1">
        <v>19452</v>
      </c>
      <c r="H746" s="1">
        <v>4.32</v>
      </c>
      <c r="I746" s="1" t="s">
        <v>22</v>
      </c>
      <c r="J746" s="1" t="s">
        <v>17</v>
      </c>
      <c r="K746" s="26">
        <v>9</v>
      </c>
    </row>
    <row r="747" spans="1:11" x14ac:dyDescent="0.25">
      <c r="A747" s="25" t="s">
        <v>24</v>
      </c>
      <c r="B747" s="1" t="s">
        <v>27</v>
      </c>
      <c r="C747" s="2">
        <v>27153</v>
      </c>
      <c r="D747" s="2">
        <v>30535</v>
      </c>
      <c r="E747" s="1">
        <v>401</v>
      </c>
      <c r="F747" s="1">
        <v>4.91</v>
      </c>
      <c r="G747" s="1">
        <v>6382</v>
      </c>
      <c r="H747" s="1">
        <v>3.14</v>
      </c>
      <c r="I747" s="1" t="s">
        <v>23</v>
      </c>
      <c r="J747" s="1" t="s">
        <v>14</v>
      </c>
      <c r="K747" s="26">
        <v>2</v>
      </c>
    </row>
    <row r="748" spans="1:11" x14ac:dyDescent="0.25">
      <c r="A748" s="25" t="s">
        <v>11</v>
      </c>
      <c r="B748" s="1" t="s">
        <v>12</v>
      </c>
      <c r="C748" s="2">
        <v>69765</v>
      </c>
      <c r="D748" s="2">
        <v>13869</v>
      </c>
      <c r="E748" s="1">
        <v>227</v>
      </c>
      <c r="F748" s="1">
        <v>4.8600000000000003</v>
      </c>
      <c r="G748" s="1">
        <v>2367</v>
      </c>
      <c r="H748" s="1">
        <v>12.69</v>
      </c>
      <c r="I748" s="1" t="s">
        <v>26</v>
      </c>
      <c r="J748" s="1" t="s">
        <v>20</v>
      </c>
      <c r="K748" s="26">
        <v>4</v>
      </c>
    </row>
    <row r="749" spans="1:11" x14ac:dyDescent="0.25">
      <c r="A749" s="25" t="s">
        <v>11</v>
      </c>
      <c r="B749" s="1" t="s">
        <v>12</v>
      </c>
      <c r="C749" s="2">
        <v>118212</v>
      </c>
      <c r="D749" s="2">
        <v>8166</v>
      </c>
      <c r="E749" s="1">
        <v>583</v>
      </c>
      <c r="F749" s="1">
        <v>2.58</v>
      </c>
      <c r="G749" s="1">
        <v>7965</v>
      </c>
      <c r="H749" s="1">
        <v>23.87</v>
      </c>
      <c r="I749" s="1" t="s">
        <v>23</v>
      </c>
      <c r="J749" s="1" t="s">
        <v>17</v>
      </c>
      <c r="K749" s="26">
        <v>9</v>
      </c>
    </row>
    <row r="750" spans="1:11" x14ac:dyDescent="0.25">
      <c r="A750" s="25" t="s">
        <v>18</v>
      </c>
      <c r="B750" s="1" t="s">
        <v>27</v>
      </c>
      <c r="C750" s="2">
        <v>49071</v>
      </c>
      <c r="D750" s="2">
        <v>13982</v>
      </c>
      <c r="E750" s="1">
        <v>678</v>
      </c>
      <c r="F750" s="1">
        <v>3.91</v>
      </c>
      <c r="G750" s="1">
        <v>11961</v>
      </c>
      <c r="H750" s="1">
        <v>4.24</v>
      </c>
      <c r="I750" s="1" t="s">
        <v>23</v>
      </c>
      <c r="J750" s="1" t="s">
        <v>17</v>
      </c>
      <c r="K750" s="26">
        <v>4</v>
      </c>
    </row>
    <row r="751" spans="1:11" x14ac:dyDescent="0.25">
      <c r="A751" s="25" t="s">
        <v>24</v>
      </c>
      <c r="B751" s="1" t="s">
        <v>25</v>
      </c>
      <c r="C751" s="2">
        <v>122990</v>
      </c>
      <c r="D751" s="2">
        <v>41697</v>
      </c>
      <c r="E751" s="1">
        <v>211</v>
      </c>
      <c r="F751" s="1">
        <v>2.38</v>
      </c>
      <c r="G751" s="1">
        <v>6603</v>
      </c>
      <c r="H751" s="1">
        <v>3.91</v>
      </c>
      <c r="I751" s="1" t="s">
        <v>22</v>
      </c>
      <c r="J751" s="1" t="s">
        <v>14</v>
      </c>
      <c r="K751" s="26">
        <v>3</v>
      </c>
    </row>
    <row r="752" spans="1:11" x14ac:dyDescent="0.25">
      <c r="A752" s="25" t="s">
        <v>15</v>
      </c>
      <c r="B752" s="1" t="s">
        <v>19</v>
      </c>
      <c r="C752" s="2">
        <v>79519</v>
      </c>
      <c r="D752" s="2">
        <v>39115</v>
      </c>
      <c r="E752" s="1">
        <v>26</v>
      </c>
      <c r="F752" s="1">
        <v>3.68</v>
      </c>
      <c r="G752" s="1">
        <v>12697</v>
      </c>
      <c r="H752" s="1">
        <v>19.3</v>
      </c>
      <c r="I752" s="1" t="s">
        <v>13</v>
      </c>
      <c r="J752" s="1" t="s">
        <v>14</v>
      </c>
      <c r="K752" s="26">
        <v>1</v>
      </c>
    </row>
    <row r="753" spans="1:11" x14ac:dyDescent="0.25">
      <c r="A753" s="25" t="s">
        <v>18</v>
      </c>
      <c r="B753" s="1" t="s">
        <v>19</v>
      </c>
      <c r="C753" s="2">
        <v>19503</v>
      </c>
      <c r="D753" s="2">
        <v>8269</v>
      </c>
      <c r="E753" s="1">
        <v>331</v>
      </c>
      <c r="F753" s="1">
        <v>4.22</v>
      </c>
      <c r="G753" s="1">
        <v>15924</v>
      </c>
      <c r="H753" s="1">
        <v>5.92</v>
      </c>
      <c r="I753" s="1" t="s">
        <v>16</v>
      </c>
      <c r="J753" s="1" t="s">
        <v>17</v>
      </c>
      <c r="K753" s="26">
        <v>7</v>
      </c>
    </row>
    <row r="754" spans="1:11" x14ac:dyDescent="0.25">
      <c r="A754" s="25" t="s">
        <v>24</v>
      </c>
      <c r="B754" s="1" t="s">
        <v>12</v>
      </c>
      <c r="C754" s="2">
        <v>105457</v>
      </c>
      <c r="D754" s="2">
        <v>29064</v>
      </c>
      <c r="E754" s="1">
        <v>527</v>
      </c>
      <c r="F754" s="1">
        <v>4.79</v>
      </c>
      <c r="G754" s="1">
        <v>16553</v>
      </c>
      <c r="H754" s="1">
        <v>2.93</v>
      </c>
      <c r="I754" s="1" t="s">
        <v>22</v>
      </c>
      <c r="J754" s="1" t="s">
        <v>14</v>
      </c>
      <c r="K754" s="26">
        <v>6</v>
      </c>
    </row>
    <row r="755" spans="1:11" x14ac:dyDescent="0.25">
      <c r="A755" s="25" t="s">
        <v>24</v>
      </c>
      <c r="B755" s="1" t="s">
        <v>12</v>
      </c>
      <c r="C755" s="2">
        <v>198938</v>
      </c>
      <c r="D755" s="2">
        <v>14527</v>
      </c>
      <c r="E755" s="1">
        <v>579</v>
      </c>
      <c r="F755" s="1">
        <v>2.6</v>
      </c>
      <c r="G755" s="1">
        <v>740</v>
      </c>
      <c r="H755" s="1">
        <v>5.01</v>
      </c>
      <c r="I755" s="1" t="s">
        <v>16</v>
      </c>
      <c r="J755" s="1" t="s">
        <v>20</v>
      </c>
      <c r="K755" s="26">
        <v>4</v>
      </c>
    </row>
    <row r="756" spans="1:11" x14ac:dyDescent="0.25">
      <c r="A756" s="25" t="s">
        <v>24</v>
      </c>
      <c r="B756" s="1" t="s">
        <v>25</v>
      </c>
      <c r="C756" s="2">
        <v>157977</v>
      </c>
      <c r="D756" s="2">
        <v>3454</v>
      </c>
      <c r="E756" s="1">
        <v>334</v>
      </c>
      <c r="F756" s="1">
        <v>4.13</v>
      </c>
      <c r="G756" s="1">
        <v>5131</v>
      </c>
      <c r="H756" s="1">
        <v>27.71</v>
      </c>
      <c r="I756" s="1" t="s">
        <v>23</v>
      </c>
      <c r="J756" s="1" t="s">
        <v>14</v>
      </c>
      <c r="K756" s="26">
        <v>6</v>
      </c>
    </row>
    <row r="757" spans="1:11" x14ac:dyDescent="0.25">
      <c r="A757" s="25" t="s">
        <v>24</v>
      </c>
      <c r="B757" s="1" t="s">
        <v>21</v>
      </c>
      <c r="C757" s="2">
        <v>55838</v>
      </c>
      <c r="D757" s="2">
        <v>21878</v>
      </c>
      <c r="E757" s="1">
        <v>421</v>
      </c>
      <c r="F757" s="1">
        <v>2.06</v>
      </c>
      <c r="G757" s="1">
        <v>10099</v>
      </c>
      <c r="H757" s="1">
        <v>24.64</v>
      </c>
      <c r="I757" s="1" t="s">
        <v>16</v>
      </c>
      <c r="J757" s="1" t="s">
        <v>14</v>
      </c>
      <c r="K757" s="26">
        <v>6</v>
      </c>
    </row>
    <row r="758" spans="1:11" x14ac:dyDescent="0.25">
      <c r="A758" s="25" t="s">
        <v>24</v>
      </c>
      <c r="B758" s="1" t="s">
        <v>27</v>
      </c>
      <c r="C758" s="2">
        <v>135200</v>
      </c>
      <c r="D758" s="2">
        <v>13991</v>
      </c>
      <c r="E758" s="1">
        <v>327</v>
      </c>
      <c r="F758" s="1">
        <v>4.96</v>
      </c>
      <c r="G758" s="1">
        <v>12194</v>
      </c>
      <c r="H758" s="1">
        <v>10.62</v>
      </c>
      <c r="I758" s="1" t="s">
        <v>13</v>
      </c>
      <c r="J758" s="1" t="s">
        <v>17</v>
      </c>
      <c r="K758" s="26">
        <v>4</v>
      </c>
    </row>
    <row r="759" spans="1:11" x14ac:dyDescent="0.25">
      <c r="A759" s="25" t="s">
        <v>11</v>
      </c>
      <c r="B759" s="1" t="s">
        <v>12</v>
      </c>
      <c r="C759" s="2">
        <v>199351</v>
      </c>
      <c r="D759" s="2">
        <v>3808</v>
      </c>
      <c r="E759" s="1">
        <v>690</v>
      </c>
      <c r="F759" s="1">
        <v>1.1000000000000001</v>
      </c>
      <c r="G759" s="1">
        <v>5577</v>
      </c>
      <c r="H759" s="1">
        <v>19.670000000000002</v>
      </c>
      <c r="I759" s="1" t="s">
        <v>22</v>
      </c>
      <c r="J759" s="1" t="s">
        <v>14</v>
      </c>
      <c r="K759" s="26">
        <v>6</v>
      </c>
    </row>
    <row r="760" spans="1:11" x14ac:dyDescent="0.25">
      <c r="A760" s="25" t="s">
        <v>18</v>
      </c>
      <c r="B760" s="1" t="s">
        <v>19</v>
      </c>
      <c r="C760" s="2">
        <v>99489</v>
      </c>
      <c r="D760" s="2">
        <v>40410</v>
      </c>
      <c r="E760" s="1">
        <v>974</v>
      </c>
      <c r="F760" s="1">
        <v>3.41</v>
      </c>
      <c r="G760" s="1">
        <v>4268</v>
      </c>
      <c r="H760" s="1">
        <v>16.12</v>
      </c>
      <c r="I760" s="1" t="s">
        <v>13</v>
      </c>
      <c r="J760" s="1" t="s">
        <v>14</v>
      </c>
      <c r="K760" s="26">
        <v>8</v>
      </c>
    </row>
    <row r="761" spans="1:11" x14ac:dyDescent="0.25">
      <c r="A761" s="25" t="s">
        <v>11</v>
      </c>
      <c r="B761" s="1" t="s">
        <v>25</v>
      </c>
      <c r="C761" s="2">
        <v>36806</v>
      </c>
      <c r="D761" s="2">
        <v>37593</v>
      </c>
      <c r="E761" s="1">
        <v>91</v>
      </c>
      <c r="F761" s="1">
        <v>3.64</v>
      </c>
      <c r="G761" s="1">
        <v>9642</v>
      </c>
      <c r="H761" s="1">
        <v>20.309999999999999</v>
      </c>
      <c r="I761" s="1" t="s">
        <v>13</v>
      </c>
      <c r="J761" s="1" t="s">
        <v>14</v>
      </c>
      <c r="K761" s="26">
        <v>3</v>
      </c>
    </row>
    <row r="762" spans="1:11" x14ac:dyDescent="0.25">
      <c r="A762" s="25" t="s">
        <v>15</v>
      </c>
      <c r="B762" s="1" t="s">
        <v>27</v>
      </c>
      <c r="C762" s="2">
        <v>186072</v>
      </c>
      <c r="D762" s="2">
        <v>37304</v>
      </c>
      <c r="E762" s="1">
        <v>483</v>
      </c>
      <c r="F762" s="1">
        <v>3.75</v>
      </c>
      <c r="G762" s="1">
        <v>8495</v>
      </c>
      <c r="H762" s="1">
        <v>20.48</v>
      </c>
      <c r="I762" s="1" t="s">
        <v>22</v>
      </c>
      <c r="J762" s="1" t="s">
        <v>20</v>
      </c>
      <c r="K762" s="26">
        <v>4</v>
      </c>
    </row>
    <row r="763" spans="1:11" x14ac:dyDescent="0.25">
      <c r="A763" s="25" t="s">
        <v>24</v>
      </c>
      <c r="B763" s="1" t="s">
        <v>25</v>
      </c>
      <c r="C763" s="2">
        <v>163240</v>
      </c>
      <c r="D763" s="2">
        <v>31386</v>
      </c>
      <c r="E763" s="1">
        <v>477</v>
      </c>
      <c r="F763" s="1">
        <v>1.48</v>
      </c>
      <c r="G763" s="1">
        <v>13776</v>
      </c>
      <c r="H763" s="1">
        <v>18.86</v>
      </c>
      <c r="I763" s="1" t="s">
        <v>13</v>
      </c>
      <c r="J763" s="1" t="s">
        <v>14</v>
      </c>
      <c r="K763" s="26">
        <v>1</v>
      </c>
    </row>
    <row r="764" spans="1:11" x14ac:dyDescent="0.25">
      <c r="A764" s="25" t="s">
        <v>18</v>
      </c>
      <c r="B764" s="1" t="s">
        <v>27</v>
      </c>
      <c r="C764" s="2">
        <v>80119</v>
      </c>
      <c r="D764" s="2">
        <v>49077</v>
      </c>
      <c r="E764" s="1">
        <v>434</v>
      </c>
      <c r="F764" s="1">
        <v>4.75</v>
      </c>
      <c r="G764" s="1">
        <v>13246</v>
      </c>
      <c r="H764" s="1">
        <v>7.98</v>
      </c>
      <c r="I764" s="1" t="s">
        <v>26</v>
      </c>
      <c r="J764" s="1" t="s">
        <v>20</v>
      </c>
      <c r="K764" s="26">
        <v>4</v>
      </c>
    </row>
    <row r="765" spans="1:11" x14ac:dyDescent="0.25">
      <c r="A765" s="25" t="s">
        <v>24</v>
      </c>
      <c r="B765" s="1" t="s">
        <v>27</v>
      </c>
      <c r="C765" s="2">
        <v>48714</v>
      </c>
      <c r="D765" s="2">
        <v>4802</v>
      </c>
      <c r="E765" s="1">
        <v>954</v>
      </c>
      <c r="F765" s="1">
        <v>1.72</v>
      </c>
      <c r="G765" s="1">
        <v>11975</v>
      </c>
      <c r="H765" s="1">
        <v>1.17</v>
      </c>
      <c r="I765" s="1" t="s">
        <v>26</v>
      </c>
      <c r="J765" s="1" t="s">
        <v>20</v>
      </c>
      <c r="K765" s="26">
        <v>9</v>
      </c>
    </row>
    <row r="766" spans="1:11" x14ac:dyDescent="0.25">
      <c r="A766" s="25" t="s">
        <v>18</v>
      </c>
      <c r="B766" s="1" t="s">
        <v>12</v>
      </c>
      <c r="C766" s="2">
        <v>195165</v>
      </c>
      <c r="D766" s="2">
        <v>29753</v>
      </c>
      <c r="E766" s="1">
        <v>740</v>
      </c>
      <c r="F766" s="1">
        <v>3.49</v>
      </c>
      <c r="G766" s="1">
        <v>19057</v>
      </c>
      <c r="H766" s="1">
        <v>13.67</v>
      </c>
      <c r="I766" s="1" t="s">
        <v>26</v>
      </c>
      <c r="J766" s="1" t="s">
        <v>20</v>
      </c>
      <c r="K766" s="26">
        <v>8</v>
      </c>
    </row>
    <row r="767" spans="1:11" x14ac:dyDescent="0.25">
      <c r="A767" s="25" t="s">
        <v>11</v>
      </c>
      <c r="B767" s="1" t="s">
        <v>25</v>
      </c>
      <c r="C767" s="2">
        <v>65419</v>
      </c>
      <c r="D767" s="2">
        <v>22083</v>
      </c>
      <c r="E767" s="1">
        <v>698</v>
      </c>
      <c r="F767" s="1">
        <v>1.89</v>
      </c>
      <c r="G767" s="1">
        <v>7068</v>
      </c>
      <c r="H767" s="1">
        <v>26.73</v>
      </c>
      <c r="I767" s="1" t="s">
        <v>16</v>
      </c>
      <c r="J767" s="1" t="s">
        <v>20</v>
      </c>
      <c r="K767" s="26">
        <v>4</v>
      </c>
    </row>
    <row r="768" spans="1:11" x14ac:dyDescent="0.25">
      <c r="A768" s="25" t="s">
        <v>18</v>
      </c>
      <c r="B768" s="1" t="s">
        <v>25</v>
      </c>
      <c r="C768" s="2">
        <v>190217</v>
      </c>
      <c r="D768" s="2">
        <v>19354</v>
      </c>
      <c r="E768" s="1">
        <v>213</v>
      </c>
      <c r="F768" s="1">
        <v>2.23</v>
      </c>
      <c r="G768" s="1">
        <v>3101</v>
      </c>
      <c r="H768" s="1">
        <v>17.079999999999998</v>
      </c>
      <c r="I768" s="1" t="s">
        <v>13</v>
      </c>
      <c r="J768" s="1" t="s">
        <v>17</v>
      </c>
      <c r="K768" s="26">
        <v>7</v>
      </c>
    </row>
    <row r="769" spans="1:11" x14ac:dyDescent="0.25">
      <c r="A769" s="25" t="s">
        <v>15</v>
      </c>
      <c r="B769" s="1" t="s">
        <v>19</v>
      </c>
      <c r="C769" s="2">
        <v>115432</v>
      </c>
      <c r="D769" s="2">
        <v>23190</v>
      </c>
      <c r="E769" s="1">
        <v>592</v>
      </c>
      <c r="F769" s="1">
        <v>3.19</v>
      </c>
      <c r="G769" s="1">
        <v>19541</v>
      </c>
      <c r="H769" s="1">
        <v>24.97</v>
      </c>
      <c r="I769" s="1" t="s">
        <v>22</v>
      </c>
      <c r="J769" s="1" t="s">
        <v>20</v>
      </c>
      <c r="K769" s="26">
        <v>3</v>
      </c>
    </row>
    <row r="770" spans="1:11" x14ac:dyDescent="0.25">
      <c r="A770" s="25" t="s">
        <v>15</v>
      </c>
      <c r="B770" s="1" t="s">
        <v>19</v>
      </c>
      <c r="C770" s="2">
        <v>102949</v>
      </c>
      <c r="D770" s="2">
        <v>7142</v>
      </c>
      <c r="E770" s="1">
        <v>396</v>
      </c>
      <c r="F770" s="1">
        <v>2.67</v>
      </c>
      <c r="G770" s="1">
        <v>6580</v>
      </c>
      <c r="H770" s="1">
        <v>29.75</v>
      </c>
      <c r="I770" s="1" t="s">
        <v>22</v>
      </c>
      <c r="J770" s="1" t="s">
        <v>14</v>
      </c>
      <c r="K770" s="26">
        <v>9</v>
      </c>
    </row>
    <row r="771" spans="1:11" x14ac:dyDescent="0.25">
      <c r="A771" s="25" t="s">
        <v>18</v>
      </c>
      <c r="B771" s="1" t="s">
        <v>12</v>
      </c>
      <c r="C771" s="2">
        <v>143533</v>
      </c>
      <c r="D771" s="2">
        <v>29398</v>
      </c>
      <c r="E771" s="1">
        <v>787</v>
      </c>
      <c r="F771" s="1">
        <v>1.64</v>
      </c>
      <c r="G771" s="1">
        <v>14354</v>
      </c>
      <c r="H771" s="1">
        <v>4.91</v>
      </c>
      <c r="I771" s="1" t="s">
        <v>16</v>
      </c>
      <c r="J771" s="1" t="s">
        <v>20</v>
      </c>
      <c r="K771" s="26">
        <v>4</v>
      </c>
    </row>
    <row r="772" spans="1:11" x14ac:dyDescent="0.25">
      <c r="A772" s="25" t="s">
        <v>18</v>
      </c>
      <c r="B772" s="1" t="s">
        <v>12</v>
      </c>
      <c r="C772" s="2">
        <v>155363</v>
      </c>
      <c r="D772" s="2">
        <v>42862</v>
      </c>
      <c r="E772" s="1">
        <v>107</v>
      </c>
      <c r="F772" s="1">
        <v>1.68</v>
      </c>
      <c r="G772" s="1">
        <v>2659</v>
      </c>
      <c r="H772" s="1">
        <v>20.75</v>
      </c>
      <c r="I772" s="1" t="s">
        <v>22</v>
      </c>
      <c r="J772" s="1" t="s">
        <v>14</v>
      </c>
      <c r="K772" s="26">
        <v>2</v>
      </c>
    </row>
    <row r="773" spans="1:11" x14ac:dyDescent="0.25">
      <c r="A773" s="25" t="s">
        <v>18</v>
      </c>
      <c r="B773" s="1" t="s">
        <v>21</v>
      </c>
      <c r="C773" s="2">
        <v>187876</v>
      </c>
      <c r="D773" s="2">
        <v>34132</v>
      </c>
      <c r="E773" s="1">
        <v>354</v>
      </c>
      <c r="F773" s="1">
        <v>2.67</v>
      </c>
      <c r="G773" s="1">
        <v>8813</v>
      </c>
      <c r="H773" s="1">
        <v>20.23</v>
      </c>
      <c r="I773" s="1" t="s">
        <v>26</v>
      </c>
      <c r="J773" s="1" t="s">
        <v>20</v>
      </c>
      <c r="K773" s="26">
        <v>5</v>
      </c>
    </row>
    <row r="774" spans="1:11" x14ac:dyDescent="0.25">
      <c r="A774" s="25" t="s">
        <v>18</v>
      </c>
      <c r="B774" s="1" t="s">
        <v>19</v>
      </c>
      <c r="C774" s="2">
        <v>86971</v>
      </c>
      <c r="D774" s="2">
        <v>20503</v>
      </c>
      <c r="E774" s="1">
        <v>812</v>
      </c>
      <c r="F774" s="1">
        <v>4.03</v>
      </c>
      <c r="G774" s="1">
        <v>4868</v>
      </c>
      <c r="H774" s="1">
        <v>29.4</v>
      </c>
      <c r="I774" s="1" t="s">
        <v>13</v>
      </c>
      <c r="J774" s="1" t="s">
        <v>17</v>
      </c>
      <c r="K774" s="26">
        <v>2</v>
      </c>
    </row>
    <row r="775" spans="1:11" x14ac:dyDescent="0.25">
      <c r="A775" s="25" t="s">
        <v>15</v>
      </c>
      <c r="B775" s="1" t="s">
        <v>27</v>
      </c>
      <c r="C775" s="2">
        <v>103471</v>
      </c>
      <c r="D775" s="2">
        <v>49456</v>
      </c>
      <c r="E775" s="1">
        <v>217</v>
      </c>
      <c r="F775" s="1">
        <v>4.59</v>
      </c>
      <c r="G775" s="1">
        <v>1817</v>
      </c>
      <c r="H775" s="1">
        <v>29.57</v>
      </c>
      <c r="I775" s="1" t="s">
        <v>22</v>
      </c>
      <c r="J775" s="1" t="s">
        <v>20</v>
      </c>
      <c r="K775" s="26">
        <v>6</v>
      </c>
    </row>
    <row r="776" spans="1:11" x14ac:dyDescent="0.25">
      <c r="A776" s="25" t="s">
        <v>24</v>
      </c>
      <c r="B776" s="1" t="s">
        <v>25</v>
      </c>
      <c r="C776" s="2">
        <v>74946</v>
      </c>
      <c r="D776" s="2">
        <v>35631</v>
      </c>
      <c r="E776" s="1">
        <v>523</v>
      </c>
      <c r="F776" s="1">
        <v>1.34</v>
      </c>
      <c r="G776" s="1">
        <v>13772</v>
      </c>
      <c r="H776" s="1">
        <v>20.6</v>
      </c>
      <c r="I776" s="1" t="s">
        <v>22</v>
      </c>
      <c r="J776" s="1" t="s">
        <v>20</v>
      </c>
      <c r="K776" s="26">
        <v>1</v>
      </c>
    </row>
    <row r="777" spans="1:11" x14ac:dyDescent="0.25">
      <c r="A777" s="25" t="s">
        <v>18</v>
      </c>
      <c r="B777" s="1" t="s">
        <v>12</v>
      </c>
      <c r="C777" s="2">
        <v>108989</v>
      </c>
      <c r="D777" s="2">
        <v>17499</v>
      </c>
      <c r="E777" s="1">
        <v>645</v>
      </c>
      <c r="F777" s="1">
        <v>2.57</v>
      </c>
      <c r="G777" s="1">
        <v>1730</v>
      </c>
      <c r="H777" s="1">
        <v>7.31</v>
      </c>
      <c r="I777" s="1" t="s">
        <v>23</v>
      </c>
      <c r="J777" s="1" t="s">
        <v>17</v>
      </c>
      <c r="K777" s="26">
        <v>6</v>
      </c>
    </row>
    <row r="778" spans="1:11" x14ac:dyDescent="0.25">
      <c r="A778" s="25" t="s">
        <v>18</v>
      </c>
      <c r="B778" s="1" t="s">
        <v>25</v>
      </c>
      <c r="C778" s="2">
        <v>94080</v>
      </c>
      <c r="D778" s="2">
        <v>40852</v>
      </c>
      <c r="E778" s="1">
        <v>801</v>
      </c>
      <c r="F778" s="1">
        <v>1.4</v>
      </c>
      <c r="G778" s="1">
        <v>18017</v>
      </c>
      <c r="H778" s="1">
        <v>23.96</v>
      </c>
      <c r="I778" s="1" t="s">
        <v>23</v>
      </c>
      <c r="J778" s="1" t="s">
        <v>20</v>
      </c>
      <c r="K778" s="26">
        <v>4</v>
      </c>
    </row>
    <row r="779" spans="1:11" x14ac:dyDescent="0.25">
      <c r="A779" s="25" t="s">
        <v>15</v>
      </c>
      <c r="B779" s="1" t="s">
        <v>25</v>
      </c>
      <c r="C779" s="2">
        <v>87794</v>
      </c>
      <c r="D779" s="2">
        <v>9016</v>
      </c>
      <c r="E779" s="1">
        <v>595</v>
      </c>
      <c r="F779" s="1">
        <v>1.07</v>
      </c>
      <c r="G779" s="1">
        <v>1801</v>
      </c>
      <c r="H779" s="1">
        <v>3.21</v>
      </c>
      <c r="I779" s="1" t="s">
        <v>23</v>
      </c>
      <c r="J779" s="1" t="s">
        <v>14</v>
      </c>
      <c r="K779" s="26">
        <v>3</v>
      </c>
    </row>
    <row r="780" spans="1:11" x14ac:dyDescent="0.25">
      <c r="A780" s="25" t="s">
        <v>15</v>
      </c>
      <c r="B780" s="1" t="s">
        <v>21</v>
      </c>
      <c r="C780" s="2">
        <v>40841</v>
      </c>
      <c r="D780" s="2">
        <v>3384</v>
      </c>
      <c r="E780" s="1">
        <v>175</v>
      </c>
      <c r="F780" s="1">
        <v>3.65</v>
      </c>
      <c r="G780" s="1">
        <v>16427</v>
      </c>
      <c r="H780" s="1">
        <v>23.42</v>
      </c>
      <c r="I780" s="1" t="s">
        <v>13</v>
      </c>
      <c r="J780" s="1" t="s">
        <v>20</v>
      </c>
      <c r="K780" s="26">
        <v>2</v>
      </c>
    </row>
    <row r="781" spans="1:11" x14ac:dyDescent="0.25">
      <c r="A781" s="25" t="s">
        <v>11</v>
      </c>
      <c r="B781" s="1" t="s">
        <v>19</v>
      </c>
      <c r="C781" s="2">
        <v>134447</v>
      </c>
      <c r="D781" s="2">
        <v>16072</v>
      </c>
      <c r="E781" s="1">
        <v>31</v>
      </c>
      <c r="F781" s="1">
        <v>3.41</v>
      </c>
      <c r="G781" s="1">
        <v>2410</v>
      </c>
      <c r="H781" s="1">
        <v>27.31</v>
      </c>
      <c r="I781" s="1" t="s">
        <v>26</v>
      </c>
      <c r="J781" s="1" t="s">
        <v>20</v>
      </c>
      <c r="K781" s="26">
        <v>7</v>
      </c>
    </row>
    <row r="782" spans="1:11" x14ac:dyDescent="0.25">
      <c r="A782" s="25" t="s">
        <v>18</v>
      </c>
      <c r="B782" s="1" t="s">
        <v>12</v>
      </c>
      <c r="C782" s="2">
        <v>130029</v>
      </c>
      <c r="D782" s="2">
        <v>37703</v>
      </c>
      <c r="E782" s="1">
        <v>163</v>
      </c>
      <c r="F782" s="1">
        <v>1.65</v>
      </c>
      <c r="G782" s="1">
        <v>15404</v>
      </c>
      <c r="H782" s="1">
        <v>11.49</v>
      </c>
      <c r="I782" s="1" t="s">
        <v>26</v>
      </c>
      <c r="J782" s="1" t="s">
        <v>20</v>
      </c>
      <c r="K782" s="26">
        <v>9</v>
      </c>
    </row>
    <row r="783" spans="1:11" x14ac:dyDescent="0.25">
      <c r="A783" s="25" t="s">
        <v>11</v>
      </c>
      <c r="B783" s="1" t="s">
        <v>25</v>
      </c>
      <c r="C783" s="2">
        <v>189830</v>
      </c>
      <c r="D783" s="2">
        <v>46895</v>
      </c>
      <c r="E783" s="1">
        <v>948</v>
      </c>
      <c r="F783" s="1">
        <v>1.94</v>
      </c>
      <c r="G783" s="1">
        <v>8607</v>
      </c>
      <c r="H783" s="1">
        <v>18.920000000000002</v>
      </c>
      <c r="I783" s="1" t="s">
        <v>26</v>
      </c>
      <c r="J783" s="1" t="s">
        <v>17</v>
      </c>
      <c r="K783" s="26">
        <v>3</v>
      </c>
    </row>
    <row r="784" spans="1:11" x14ac:dyDescent="0.25">
      <c r="A784" s="25" t="s">
        <v>15</v>
      </c>
      <c r="B784" s="1" t="s">
        <v>12</v>
      </c>
      <c r="C784" s="2">
        <v>86272</v>
      </c>
      <c r="D784" s="2">
        <v>15482</v>
      </c>
      <c r="E784" s="1">
        <v>448</v>
      </c>
      <c r="F784" s="1">
        <v>1.0900000000000001</v>
      </c>
      <c r="G784" s="1">
        <v>18800</v>
      </c>
      <c r="H784" s="1">
        <v>12.9</v>
      </c>
      <c r="I784" s="1" t="s">
        <v>13</v>
      </c>
      <c r="J784" s="1" t="s">
        <v>20</v>
      </c>
      <c r="K784" s="26">
        <v>6</v>
      </c>
    </row>
    <row r="785" spans="1:11" x14ac:dyDescent="0.25">
      <c r="A785" s="25" t="s">
        <v>15</v>
      </c>
      <c r="B785" s="1" t="s">
        <v>27</v>
      </c>
      <c r="C785" s="2">
        <v>47643</v>
      </c>
      <c r="D785" s="2">
        <v>41510</v>
      </c>
      <c r="E785" s="1">
        <v>304</v>
      </c>
      <c r="F785" s="1">
        <v>4.34</v>
      </c>
      <c r="G785" s="1">
        <v>3257</v>
      </c>
      <c r="H785" s="1">
        <v>13.13</v>
      </c>
      <c r="I785" s="1" t="s">
        <v>13</v>
      </c>
      <c r="J785" s="1" t="s">
        <v>20</v>
      </c>
      <c r="K785" s="26">
        <v>9</v>
      </c>
    </row>
    <row r="786" spans="1:11" x14ac:dyDescent="0.25">
      <c r="A786" s="25" t="s">
        <v>24</v>
      </c>
      <c r="B786" s="1" t="s">
        <v>21</v>
      </c>
      <c r="C786" s="2">
        <v>191480</v>
      </c>
      <c r="D786" s="2">
        <v>49933</v>
      </c>
      <c r="E786" s="1">
        <v>228</v>
      </c>
      <c r="F786" s="1">
        <v>4.9000000000000004</v>
      </c>
      <c r="G786" s="1">
        <v>6964</v>
      </c>
      <c r="H786" s="1">
        <v>9.31</v>
      </c>
      <c r="I786" s="1" t="s">
        <v>23</v>
      </c>
      <c r="J786" s="1" t="s">
        <v>14</v>
      </c>
      <c r="K786" s="26">
        <v>2</v>
      </c>
    </row>
    <row r="787" spans="1:11" x14ac:dyDescent="0.25">
      <c r="A787" s="25" t="s">
        <v>18</v>
      </c>
      <c r="B787" s="1" t="s">
        <v>27</v>
      </c>
      <c r="C787" s="2">
        <v>53950</v>
      </c>
      <c r="D787" s="2">
        <v>22826</v>
      </c>
      <c r="E787" s="1">
        <v>678</v>
      </c>
      <c r="F787" s="1">
        <v>1.54</v>
      </c>
      <c r="G787" s="1">
        <v>17062</v>
      </c>
      <c r="H787" s="1">
        <v>22.86</v>
      </c>
      <c r="I787" s="1" t="s">
        <v>22</v>
      </c>
      <c r="J787" s="1" t="s">
        <v>20</v>
      </c>
      <c r="K787" s="26">
        <v>7</v>
      </c>
    </row>
    <row r="788" spans="1:11" x14ac:dyDescent="0.25">
      <c r="A788" s="25" t="s">
        <v>11</v>
      </c>
      <c r="B788" s="1" t="s">
        <v>12</v>
      </c>
      <c r="C788" s="2">
        <v>197921</v>
      </c>
      <c r="D788" s="2">
        <v>3490</v>
      </c>
      <c r="E788" s="1">
        <v>504</v>
      </c>
      <c r="F788" s="1">
        <v>1.93</v>
      </c>
      <c r="G788" s="1">
        <v>9588</v>
      </c>
      <c r="H788" s="1">
        <v>28.09</v>
      </c>
      <c r="I788" s="1" t="s">
        <v>16</v>
      </c>
      <c r="J788" s="1" t="s">
        <v>20</v>
      </c>
      <c r="K788" s="26">
        <v>5</v>
      </c>
    </row>
    <row r="789" spans="1:11" x14ac:dyDescent="0.25">
      <c r="A789" s="25" t="s">
        <v>15</v>
      </c>
      <c r="B789" s="1" t="s">
        <v>12</v>
      </c>
      <c r="C789" s="2">
        <v>110500</v>
      </c>
      <c r="D789" s="2">
        <v>47092</v>
      </c>
      <c r="E789" s="1">
        <v>239</v>
      </c>
      <c r="F789" s="1">
        <v>4.47</v>
      </c>
      <c r="G789" s="1">
        <v>15624</v>
      </c>
      <c r="H789" s="1">
        <v>28.22</v>
      </c>
      <c r="I789" s="1" t="s">
        <v>16</v>
      </c>
      <c r="J789" s="1" t="s">
        <v>20</v>
      </c>
      <c r="K789" s="26">
        <v>5</v>
      </c>
    </row>
    <row r="790" spans="1:11" x14ac:dyDescent="0.25">
      <c r="A790" s="25" t="s">
        <v>15</v>
      </c>
      <c r="B790" s="1" t="s">
        <v>19</v>
      </c>
      <c r="C790" s="2">
        <v>169116</v>
      </c>
      <c r="D790" s="2">
        <v>26518</v>
      </c>
      <c r="E790" s="1">
        <v>29</v>
      </c>
      <c r="F790" s="1">
        <v>4.71</v>
      </c>
      <c r="G790" s="1">
        <v>14760</v>
      </c>
      <c r="H790" s="1">
        <v>5.24</v>
      </c>
      <c r="I790" s="1" t="s">
        <v>22</v>
      </c>
      <c r="J790" s="1" t="s">
        <v>20</v>
      </c>
      <c r="K790" s="26">
        <v>7</v>
      </c>
    </row>
    <row r="791" spans="1:11" x14ac:dyDescent="0.25">
      <c r="A791" s="25" t="s">
        <v>11</v>
      </c>
      <c r="B791" s="1" t="s">
        <v>25</v>
      </c>
      <c r="C791" s="2">
        <v>135588</v>
      </c>
      <c r="D791" s="2">
        <v>25045</v>
      </c>
      <c r="E791" s="1">
        <v>996</v>
      </c>
      <c r="F791" s="1">
        <v>2.68</v>
      </c>
      <c r="G791" s="1">
        <v>10243</v>
      </c>
      <c r="H791" s="1">
        <v>26.24</v>
      </c>
      <c r="I791" s="1" t="s">
        <v>23</v>
      </c>
      <c r="J791" s="1" t="s">
        <v>14</v>
      </c>
      <c r="K791" s="26">
        <v>9</v>
      </c>
    </row>
    <row r="792" spans="1:11" x14ac:dyDescent="0.25">
      <c r="A792" s="25" t="s">
        <v>24</v>
      </c>
      <c r="B792" s="1" t="s">
        <v>25</v>
      </c>
      <c r="C792" s="2">
        <v>25997</v>
      </c>
      <c r="D792" s="2">
        <v>27910</v>
      </c>
      <c r="E792" s="1">
        <v>562</v>
      </c>
      <c r="F792" s="1">
        <v>1.2</v>
      </c>
      <c r="G792" s="1">
        <v>9183</v>
      </c>
      <c r="H792" s="1">
        <v>22.12</v>
      </c>
      <c r="I792" s="1" t="s">
        <v>22</v>
      </c>
      <c r="J792" s="1" t="s">
        <v>14</v>
      </c>
      <c r="K792" s="26">
        <v>4</v>
      </c>
    </row>
    <row r="793" spans="1:11" x14ac:dyDescent="0.25">
      <c r="A793" s="25" t="s">
        <v>15</v>
      </c>
      <c r="B793" s="1" t="s">
        <v>27</v>
      </c>
      <c r="C793" s="2">
        <v>89751</v>
      </c>
      <c r="D793" s="2">
        <v>25566</v>
      </c>
      <c r="E793" s="1">
        <v>959</v>
      </c>
      <c r="F793" s="1">
        <v>1.1599999999999999</v>
      </c>
      <c r="G793" s="1">
        <v>560</v>
      </c>
      <c r="H793" s="1">
        <v>7.59</v>
      </c>
      <c r="I793" s="1" t="s">
        <v>22</v>
      </c>
      <c r="J793" s="1" t="s">
        <v>17</v>
      </c>
      <c r="K793" s="26">
        <v>9</v>
      </c>
    </row>
    <row r="794" spans="1:11" x14ac:dyDescent="0.25">
      <c r="A794" s="25" t="s">
        <v>18</v>
      </c>
      <c r="B794" s="1" t="s">
        <v>21</v>
      </c>
      <c r="C794" s="2">
        <v>108605</v>
      </c>
      <c r="D794" s="2">
        <v>34905</v>
      </c>
      <c r="E794" s="1">
        <v>157</v>
      </c>
      <c r="F794" s="1">
        <v>3.3</v>
      </c>
      <c r="G794" s="1">
        <v>9769</v>
      </c>
      <c r="H794" s="1">
        <v>2.02</v>
      </c>
      <c r="I794" s="1" t="s">
        <v>16</v>
      </c>
      <c r="J794" s="1" t="s">
        <v>20</v>
      </c>
      <c r="K794" s="26">
        <v>9</v>
      </c>
    </row>
    <row r="795" spans="1:11" x14ac:dyDescent="0.25">
      <c r="A795" s="25" t="s">
        <v>15</v>
      </c>
      <c r="B795" s="1" t="s">
        <v>25</v>
      </c>
      <c r="C795" s="2">
        <v>164983</v>
      </c>
      <c r="D795" s="2">
        <v>28103</v>
      </c>
      <c r="E795" s="1">
        <v>117</v>
      </c>
      <c r="F795" s="1">
        <v>2.57</v>
      </c>
      <c r="G795" s="1">
        <v>3395</v>
      </c>
      <c r="H795" s="1">
        <v>8.0399999999999991</v>
      </c>
      <c r="I795" s="1" t="s">
        <v>23</v>
      </c>
      <c r="J795" s="1" t="s">
        <v>17</v>
      </c>
      <c r="K795" s="26">
        <v>4</v>
      </c>
    </row>
    <row r="796" spans="1:11" x14ac:dyDescent="0.25">
      <c r="A796" s="25" t="s">
        <v>18</v>
      </c>
      <c r="B796" s="1" t="s">
        <v>19</v>
      </c>
      <c r="C796" s="2">
        <v>65533</v>
      </c>
      <c r="D796" s="2">
        <v>37188</v>
      </c>
      <c r="E796" s="1">
        <v>412</v>
      </c>
      <c r="F796" s="1">
        <v>1.1100000000000001</v>
      </c>
      <c r="G796" s="1">
        <v>15823</v>
      </c>
      <c r="H796" s="1">
        <v>27.37</v>
      </c>
      <c r="I796" s="1" t="s">
        <v>13</v>
      </c>
      <c r="J796" s="1" t="s">
        <v>17</v>
      </c>
      <c r="K796" s="26">
        <v>3</v>
      </c>
    </row>
    <row r="797" spans="1:11" x14ac:dyDescent="0.25">
      <c r="A797" s="25" t="s">
        <v>11</v>
      </c>
      <c r="B797" s="1" t="s">
        <v>27</v>
      </c>
      <c r="C797" s="2">
        <v>92566</v>
      </c>
      <c r="D797" s="2">
        <v>6845</v>
      </c>
      <c r="E797" s="1">
        <v>605</v>
      </c>
      <c r="F797" s="1">
        <v>3.33</v>
      </c>
      <c r="G797" s="1">
        <v>12852</v>
      </c>
      <c r="H797" s="1">
        <v>19</v>
      </c>
      <c r="I797" s="1" t="s">
        <v>16</v>
      </c>
      <c r="J797" s="1" t="s">
        <v>20</v>
      </c>
      <c r="K797" s="26">
        <v>2</v>
      </c>
    </row>
    <row r="798" spans="1:11" x14ac:dyDescent="0.25">
      <c r="A798" s="25" t="s">
        <v>18</v>
      </c>
      <c r="B798" s="1" t="s">
        <v>27</v>
      </c>
      <c r="C798" s="2">
        <v>155643</v>
      </c>
      <c r="D798" s="2">
        <v>22162</v>
      </c>
      <c r="E798" s="1">
        <v>492</v>
      </c>
      <c r="F798" s="1">
        <v>1.05</v>
      </c>
      <c r="G798" s="1">
        <v>12375</v>
      </c>
      <c r="H798" s="1">
        <v>21.63</v>
      </c>
      <c r="I798" s="1" t="s">
        <v>13</v>
      </c>
      <c r="J798" s="1" t="s">
        <v>14</v>
      </c>
      <c r="K798" s="26">
        <v>9</v>
      </c>
    </row>
    <row r="799" spans="1:11" x14ac:dyDescent="0.25">
      <c r="A799" s="25" t="s">
        <v>11</v>
      </c>
      <c r="B799" s="1" t="s">
        <v>19</v>
      </c>
      <c r="C799" s="2">
        <v>118255</v>
      </c>
      <c r="D799" s="2">
        <v>37674</v>
      </c>
      <c r="E799" s="1">
        <v>376</v>
      </c>
      <c r="F799" s="1">
        <v>4.1500000000000004</v>
      </c>
      <c r="G799" s="1">
        <v>17469</v>
      </c>
      <c r="H799" s="1">
        <v>7.71</v>
      </c>
      <c r="I799" s="1" t="s">
        <v>23</v>
      </c>
      <c r="J799" s="1" t="s">
        <v>14</v>
      </c>
      <c r="K799" s="26">
        <v>2</v>
      </c>
    </row>
    <row r="800" spans="1:11" x14ac:dyDescent="0.25">
      <c r="A800" s="25" t="s">
        <v>18</v>
      </c>
      <c r="B800" s="1" t="s">
        <v>21</v>
      </c>
      <c r="C800" s="2">
        <v>199013</v>
      </c>
      <c r="D800" s="2">
        <v>20337</v>
      </c>
      <c r="E800" s="1">
        <v>843</v>
      </c>
      <c r="F800" s="1">
        <v>2.23</v>
      </c>
      <c r="G800" s="1">
        <v>6323</v>
      </c>
      <c r="H800" s="1">
        <v>21.58</v>
      </c>
      <c r="I800" s="1" t="s">
        <v>22</v>
      </c>
      <c r="J800" s="1" t="s">
        <v>20</v>
      </c>
      <c r="K800" s="26">
        <v>6</v>
      </c>
    </row>
    <row r="801" spans="1:11" x14ac:dyDescent="0.25">
      <c r="A801" s="25" t="s">
        <v>11</v>
      </c>
      <c r="B801" s="1" t="s">
        <v>19</v>
      </c>
      <c r="C801" s="2">
        <v>68005</v>
      </c>
      <c r="D801" s="2">
        <v>23313</v>
      </c>
      <c r="E801" s="1">
        <v>423</v>
      </c>
      <c r="F801" s="1">
        <v>1.1599999999999999</v>
      </c>
      <c r="G801" s="1">
        <v>12462</v>
      </c>
      <c r="H801" s="1">
        <v>0.84</v>
      </c>
      <c r="I801" s="1" t="s">
        <v>26</v>
      </c>
      <c r="J801" s="1" t="s">
        <v>20</v>
      </c>
      <c r="K801" s="26">
        <v>5</v>
      </c>
    </row>
    <row r="802" spans="1:11" x14ac:dyDescent="0.25">
      <c r="A802" s="25" t="s">
        <v>18</v>
      </c>
      <c r="B802" s="1" t="s">
        <v>21</v>
      </c>
      <c r="C802" s="2">
        <v>199784</v>
      </c>
      <c r="D802" s="2">
        <v>27943</v>
      </c>
      <c r="E802" s="1">
        <v>318</v>
      </c>
      <c r="F802" s="1">
        <v>3.35</v>
      </c>
      <c r="G802" s="1">
        <v>1034</v>
      </c>
      <c r="H802" s="1">
        <v>11.26</v>
      </c>
      <c r="I802" s="1" t="s">
        <v>26</v>
      </c>
      <c r="J802" s="1" t="s">
        <v>14</v>
      </c>
      <c r="K802" s="26">
        <v>5</v>
      </c>
    </row>
    <row r="803" spans="1:11" x14ac:dyDescent="0.25">
      <c r="A803" s="25" t="s">
        <v>24</v>
      </c>
      <c r="B803" s="1" t="s">
        <v>19</v>
      </c>
      <c r="C803" s="2">
        <v>53541</v>
      </c>
      <c r="D803" s="2">
        <v>13413</v>
      </c>
      <c r="E803" s="1">
        <v>811</v>
      </c>
      <c r="F803" s="1">
        <v>2.59</v>
      </c>
      <c r="G803" s="1">
        <v>4511</v>
      </c>
      <c r="H803" s="1">
        <v>18.8</v>
      </c>
      <c r="I803" s="1" t="s">
        <v>23</v>
      </c>
      <c r="J803" s="1" t="s">
        <v>20</v>
      </c>
      <c r="K803" s="26">
        <v>4</v>
      </c>
    </row>
    <row r="804" spans="1:11" x14ac:dyDescent="0.25">
      <c r="A804" s="25" t="s">
        <v>18</v>
      </c>
      <c r="B804" s="1" t="s">
        <v>19</v>
      </c>
      <c r="C804" s="2">
        <v>33387</v>
      </c>
      <c r="D804" s="2">
        <v>1276</v>
      </c>
      <c r="E804" s="1">
        <v>927</v>
      </c>
      <c r="F804" s="1">
        <v>4.9000000000000004</v>
      </c>
      <c r="G804" s="1">
        <v>2655</v>
      </c>
      <c r="H804" s="1">
        <v>4.38</v>
      </c>
      <c r="I804" s="1" t="s">
        <v>26</v>
      </c>
      <c r="J804" s="1" t="s">
        <v>20</v>
      </c>
      <c r="K804" s="26">
        <v>6</v>
      </c>
    </row>
    <row r="805" spans="1:11" x14ac:dyDescent="0.25">
      <c r="A805" s="25" t="s">
        <v>18</v>
      </c>
      <c r="B805" s="1" t="s">
        <v>12</v>
      </c>
      <c r="C805" s="2">
        <v>103980</v>
      </c>
      <c r="D805" s="2">
        <v>18611</v>
      </c>
      <c r="E805" s="1">
        <v>844</v>
      </c>
      <c r="F805" s="1">
        <v>3.18</v>
      </c>
      <c r="G805" s="1">
        <v>7457</v>
      </c>
      <c r="H805" s="1">
        <v>24.69</v>
      </c>
      <c r="I805" s="1" t="s">
        <v>13</v>
      </c>
      <c r="J805" s="1" t="s">
        <v>20</v>
      </c>
      <c r="K805" s="26">
        <v>5</v>
      </c>
    </row>
    <row r="806" spans="1:11" x14ac:dyDescent="0.25">
      <c r="A806" s="25" t="s">
        <v>24</v>
      </c>
      <c r="B806" s="1" t="s">
        <v>27</v>
      </c>
      <c r="C806" s="2">
        <v>189980</v>
      </c>
      <c r="D806" s="2">
        <v>40105</v>
      </c>
      <c r="E806" s="1">
        <v>143</v>
      </c>
      <c r="F806" s="1">
        <v>2.1</v>
      </c>
      <c r="G806" s="1">
        <v>9696</v>
      </c>
      <c r="H806" s="1">
        <v>7.05</v>
      </c>
      <c r="I806" s="1" t="s">
        <v>26</v>
      </c>
      <c r="J806" s="1" t="s">
        <v>14</v>
      </c>
      <c r="K806" s="26">
        <v>4</v>
      </c>
    </row>
    <row r="807" spans="1:11" x14ac:dyDescent="0.25">
      <c r="A807" s="25" t="s">
        <v>15</v>
      </c>
      <c r="B807" s="1" t="s">
        <v>19</v>
      </c>
      <c r="C807" s="2">
        <v>95457</v>
      </c>
      <c r="D807" s="2">
        <v>12944</v>
      </c>
      <c r="E807" s="1">
        <v>728</v>
      </c>
      <c r="F807" s="1">
        <v>3.84</v>
      </c>
      <c r="G807" s="1">
        <v>11191</v>
      </c>
      <c r="H807" s="1">
        <v>19.57</v>
      </c>
      <c r="I807" s="1" t="s">
        <v>23</v>
      </c>
      <c r="J807" s="1" t="s">
        <v>17</v>
      </c>
      <c r="K807" s="26">
        <v>9</v>
      </c>
    </row>
    <row r="808" spans="1:11" x14ac:dyDescent="0.25">
      <c r="A808" s="25" t="s">
        <v>15</v>
      </c>
      <c r="B808" s="1" t="s">
        <v>19</v>
      </c>
      <c r="C808" s="2">
        <v>154129</v>
      </c>
      <c r="D808" s="2">
        <v>16906</v>
      </c>
      <c r="E808" s="1">
        <v>292</v>
      </c>
      <c r="F808" s="1">
        <v>2.09</v>
      </c>
      <c r="G808" s="1">
        <v>13827</v>
      </c>
      <c r="H808" s="1">
        <v>12.16</v>
      </c>
      <c r="I808" s="1" t="s">
        <v>23</v>
      </c>
      <c r="J808" s="1" t="s">
        <v>17</v>
      </c>
      <c r="K808" s="26">
        <v>6</v>
      </c>
    </row>
    <row r="809" spans="1:11" x14ac:dyDescent="0.25">
      <c r="A809" s="25" t="s">
        <v>18</v>
      </c>
      <c r="B809" s="1" t="s">
        <v>25</v>
      </c>
      <c r="C809" s="2">
        <v>74028</v>
      </c>
      <c r="D809" s="2">
        <v>21536</v>
      </c>
      <c r="E809" s="1">
        <v>787</v>
      </c>
      <c r="F809" s="1">
        <v>4.62</v>
      </c>
      <c r="G809" s="1">
        <v>3206</v>
      </c>
      <c r="H809" s="1">
        <v>17.88</v>
      </c>
      <c r="I809" s="1" t="s">
        <v>13</v>
      </c>
      <c r="J809" s="1" t="s">
        <v>20</v>
      </c>
      <c r="K809" s="26">
        <v>3</v>
      </c>
    </row>
    <row r="810" spans="1:11" x14ac:dyDescent="0.25">
      <c r="A810" s="25" t="s">
        <v>24</v>
      </c>
      <c r="B810" s="1" t="s">
        <v>27</v>
      </c>
      <c r="C810" s="2">
        <v>129246</v>
      </c>
      <c r="D810" s="2">
        <v>28810</v>
      </c>
      <c r="E810" s="1">
        <v>82</v>
      </c>
      <c r="F810" s="1">
        <v>2.5</v>
      </c>
      <c r="G810" s="1">
        <v>501</v>
      </c>
      <c r="H810" s="1">
        <v>3.22</v>
      </c>
      <c r="I810" s="1" t="s">
        <v>26</v>
      </c>
      <c r="J810" s="1" t="s">
        <v>14</v>
      </c>
      <c r="K810" s="26">
        <v>6</v>
      </c>
    </row>
    <row r="811" spans="1:11" x14ac:dyDescent="0.25">
      <c r="A811" s="25" t="s">
        <v>18</v>
      </c>
      <c r="B811" s="1" t="s">
        <v>25</v>
      </c>
      <c r="C811" s="2">
        <v>65731</v>
      </c>
      <c r="D811" s="2">
        <v>13306</v>
      </c>
      <c r="E811" s="1">
        <v>490</v>
      </c>
      <c r="F811" s="1">
        <v>3.2</v>
      </c>
      <c r="G811" s="1">
        <v>9725</v>
      </c>
      <c r="H811" s="1">
        <v>0.51</v>
      </c>
      <c r="I811" s="1" t="s">
        <v>26</v>
      </c>
      <c r="J811" s="1" t="s">
        <v>20</v>
      </c>
      <c r="K811" s="26">
        <v>1</v>
      </c>
    </row>
    <row r="812" spans="1:11" x14ac:dyDescent="0.25">
      <c r="A812" s="25" t="s">
        <v>11</v>
      </c>
      <c r="B812" s="1" t="s">
        <v>27</v>
      </c>
      <c r="C812" s="2">
        <v>165930</v>
      </c>
      <c r="D812" s="2">
        <v>11503</v>
      </c>
      <c r="E812" s="1">
        <v>361</v>
      </c>
      <c r="F812" s="1">
        <v>1.2</v>
      </c>
      <c r="G812" s="1">
        <v>17988</v>
      </c>
      <c r="H812" s="1">
        <v>27.29</v>
      </c>
      <c r="I812" s="1" t="s">
        <v>22</v>
      </c>
      <c r="J812" s="1" t="s">
        <v>14</v>
      </c>
      <c r="K812" s="26">
        <v>5</v>
      </c>
    </row>
    <row r="813" spans="1:11" x14ac:dyDescent="0.25">
      <c r="A813" s="25" t="s">
        <v>11</v>
      </c>
      <c r="B813" s="1" t="s">
        <v>25</v>
      </c>
      <c r="C813" s="2">
        <v>189761</v>
      </c>
      <c r="D813" s="2">
        <v>20225</v>
      </c>
      <c r="E813" s="1">
        <v>569</v>
      </c>
      <c r="F813" s="1">
        <v>2.7</v>
      </c>
      <c r="G813" s="1">
        <v>15320</v>
      </c>
      <c r="H813" s="1">
        <v>8.09</v>
      </c>
      <c r="I813" s="1" t="s">
        <v>16</v>
      </c>
      <c r="J813" s="1" t="s">
        <v>20</v>
      </c>
      <c r="K813" s="26">
        <v>6</v>
      </c>
    </row>
    <row r="814" spans="1:11" x14ac:dyDescent="0.25">
      <c r="A814" s="25" t="s">
        <v>18</v>
      </c>
      <c r="B814" s="1" t="s">
        <v>19</v>
      </c>
      <c r="C814" s="2">
        <v>54638</v>
      </c>
      <c r="D814" s="2">
        <v>37976</v>
      </c>
      <c r="E814" s="1">
        <v>335</v>
      </c>
      <c r="F814" s="1">
        <v>4.33</v>
      </c>
      <c r="G814" s="1">
        <v>11391</v>
      </c>
      <c r="H814" s="1">
        <v>24.59</v>
      </c>
      <c r="I814" s="1" t="s">
        <v>23</v>
      </c>
      <c r="J814" s="1" t="s">
        <v>14</v>
      </c>
      <c r="K814" s="26">
        <v>8</v>
      </c>
    </row>
    <row r="815" spans="1:11" x14ac:dyDescent="0.25">
      <c r="A815" s="25" t="s">
        <v>15</v>
      </c>
      <c r="B815" s="1" t="s">
        <v>19</v>
      </c>
      <c r="C815" s="2">
        <v>187558</v>
      </c>
      <c r="D815" s="2">
        <v>12590</v>
      </c>
      <c r="E815" s="1">
        <v>754</v>
      </c>
      <c r="F815" s="1">
        <v>4.22</v>
      </c>
      <c r="G815" s="1">
        <v>2361</v>
      </c>
      <c r="H815" s="1">
        <v>29.98</v>
      </c>
      <c r="I815" s="1" t="s">
        <v>22</v>
      </c>
      <c r="J815" s="1" t="s">
        <v>14</v>
      </c>
      <c r="K815" s="26">
        <v>9</v>
      </c>
    </row>
    <row r="816" spans="1:11" x14ac:dyDescent="0.25">
      <c r="A816" s="25" t="s">
        <v>15</v>
      </c>
      <c r="B816" s="1" t="s">
        <v>12</v>
      </c>
      <c r="C816" s="2">
        <v>30567</v>
      </c>
      <c r="D816" s="2">
        <v>11886</v>
      </c>
      <c r="E816" s="1">
        <v>452</v>
      </c>
      <c r="F816" s="1">
        <v>1.9</v>
      </c>
      <c r="G816" s="1">
        <v>5769</v>
      </c>
      <c r="H816" s="1">
        <v>6.34</v>
      </c>
      <c r="I816" s="1" t="s">
        <v>23</v>
      </c>
      <c r="J816" s="1" t="s">
        <v>17</v>
      </c>
      <c r="K816" s="26">
        <v>3</v>
      </c>
    </row>
    <row r="817" spans="1:11" x14ac:dyDescent="0.25">
      <c r="A817" s="25" t="s">
        <v>18</v>
      </c>
      <c r="B817" s="1" t="s">
        <v>25</v>
      </c>
      <c r="C817" s="2">
        <v>170811</v>
      </c>
      <c r="D817" s="2">
        <v>13866</v>
      </c>
      <c r="E817" s="1">
        <v>109</v>
      </c>
      <c r="F817" s="1">
        <v>1.9</v>
      </c>
      <c r="G817" s="1">
        <v>11612</v>
      </c>
      <c r="H817" s="1">
        <v>7.96</v>
      </c>
      <c r="I817" s="1" t="s">
        <v>22</v>
      </c>
      <c r="J817" s="1" t="s">
        <v>20</v>
      </c>
      <c r="K817" s="26">
        <v>2</v>
      </c>
    </row>
    <row r="818" spans="1:11" x14ac:dyDescent="0.25">
      <c r="A818" s="25" t="s">
        <v>18</v>
      </c>
      <c r="B818" s="1" t="s">
        <v>21</v>
      </c>
      <c r="C818" s="2">
        <v>67804</v>
      </c>
      <c r="D818" s="2">
        <v>2088</v>
      </c>
      <c r="E818" s="1">
        <v>68</v>
      </c>
      <c r="F818" s="1">
        <v>4.2699999999999996</v>
      </c>
      <c r="G818" s="1">
        <v>16199</v>
      </c>
      <c r="H818" s="1">
        <v>19.89</v>
      </c>
      <c r="I818" s="1" t="s">
        <v>16</v>
      </c>
      <c r="J818" s="1" t="s">
        <v>17</v>
      </c>
      <c r="K818" s="26">
        <v>4</v>
      </c>
    </row>
    <row r="819" spans="1:11" x14ac:dyDescent="0.25">
      <c r="A819" s="25" t="s">
        <v>11</v>
      </c>
      <c r="B819" s="1" t="s">
        <v>12</v>
      </c>
      <c r="C819" s="2">
        <v>118821</v>
      </c>
      <c r="D819" s="2">
        <v>4363</v>
      </c>
      <c r="E819" s="1">
        <v>517</v>
      </c>
      <c r="F819" s="1">
        <v>4.72</v>
      </c>
      <c r="G819" s="1">
        <v>8820</v>
      </c>
      <c r="H819" s="1">
        <v>28.96</v>
      </c>
      <c r="I819" s="1" t="s">
        <v>22</v>
      </c>
      <c r="J819" s="1" t="s">
        <v>17</v>
      </c>
      <c r="K819" s="26">
        <v>8</v>
      </c>
    </row>
    <row r="820" spans="1:11" x14ac:dyDescent="0.25">
      <c r="A820" s="25" t="s">
        <v>15</v>
      </c>
      <c r="B820" s="1" t="s">
        <v>25</v>
      </c>
      <c r="C820" s="2">
        <v>13754</v>
      </c>
      <c r="D820" s="2">
        <v>33792</v>
      </c>
      <c r="E820" s="1">
        <v>267</v>
      </c>
      <c r="F820" s="1">
        <v>1.38</v>
      </c>
      <c r="G820" s="1">
        <v>17321</v>
      </c>
      <c r="H820" s="1">
        <v>27.47</v>
      </c>
      <c r="I820" s="1" t="s">
        <v>23</v>
      </c>
      <c r="J820" s="1" t="s">
        <v>14</v>
      </c>
      <c r="K820" s="26">
        <v>8</v>
      </c>
    </row>
    <row r="821" spans="1:11" x14ac:dyDescent="0.25">
      <c r="A821" s="25" t="s">
        <v>18</v>
      </c>
      <c r="B821" s="1" t="s">
        <v>25</v>
      </c>
      <c r="C821" s="2">
        <v>37044</v>
      </c>
      <c r="D821" s="2">
        <v>10764</v>
      </c>
      <c r="E821" s="1">
        <v>422</v>
      </c>
      <c r="F821" s="1">
        <v>2.8</v>
      </c>
      <c r="G821" s="1">
        <v>11240</v>
      </c>
      <c r="H821" s="1">
        <v>15.09</v>
      </c>
      <c r="I821" s="1" t="s">
        <v>26</v>
      </c>
      <c r="J821" s="1" t="s">
        <v>20</v>
      </c>
      <c r="K821" s="26">
        <v>3</v>
      </c>
    </row>
    <row r="822" spans="1:11" x14ac:dyDescent="0.25">
      <c r="A822" s="25" t="s">
        <v>11</v>
      </c>
      <c r="B822" s="1" t="s">
        <v>12</v>
      </c>
      <c r="C822" s="2">
        <v>77260</v>
      </c>
      <c r="D822" s="2">
        <v>21620</v>
      </c>
      <c r="E822" s="1">
        <v>461</v>
      </c>
      <c r="F822" s="1">
        <v>2.35</v>
      </c>
      <c r="G822" s="1">
        <v>3629</v>
      </c>
      <c r="H822" s="1">
        <v>23.85</v>
      </c>
      <c r="I822" s="1" t="s">
        <v>23</v>
      </c>
      <c r="J822" s="1" t="s">
        <v>14</v>
      </c>
      <c r="K822" s="26">
        <v>4</v>
      </c>
    </row>
    <row r="823" spans="1:11" x14ac:dyDescent="0.25">
      <c r="A823" s="25" t="s">
        <v>15</v>
      </c>
      <c r="B823" s="1" t="s">
        <v>19</v>
      </c>
      <c r="C823" s="2">
        <v>76912</v>
      </c>
      <c r="D823" s="2">
        <v>43727</v>
      </c>
      <c r="E823" s="1">
        <v>74</v>
      </c>
      <c r="F823" s="1">
        <v>4.4800000000000004</v>
      </c>
      <c r="G823" s="1">
        <v>17785</v>
      </c>
      <c r="H823" s="1">
        <v>4.07</v>
      </c>
      <c r="I823" s="1" t="s">
        <v>13</v>
      </c>
      <c r="J823" s="1" t="s">
        <v>14</v>
      </c>
      <c r="K823" s="26">
        <v>3</v>
      </c>
    </row>
    <row r="824" spans="1:11" x14ac:dyDescent="0.25">
      <c r="A824" s="25" t="s">
        <v>24</v>
      </c>
      <c r="B824" s="1" t="s">
        <v>25</v>
      </c>
      <c r="C824" s="2">
        <v>18706</v>
      </c>
      <c r="D824" s="2">
        <v>13935</v>
      </c>
      <c r="E824" s="1">
        <v>604</v>
      </c>
      <c r="F824" s="1">
        <v>1.33</v>
      </c>
      <c r="G824" s="1">
        <v>14880</v>
      </c>
      <c r="H824" s="1">
        <v>29.32</v>
      </c>
      <c r="I824" s="1" t="s">
        <v>13</v>
      </c>
      <c r="J824" s="1" t="s">
        <v>14</v>
      </c>
      <c r="K824" s="26">
        <v>2</v>
      </c>
    </row>
    <row r="825" spans="1:11" x14ac:dyDescent="0.25">
      <c r="A825" s="25" t="s">
        <v>11</v>
      </c>
      <c r="B825" s="1" t="s">
        <v>19</v>
      </c>
      <c r="C825" s="2">
        <v>18894</v>
      </c>
      <c r="D825" s="2">
        <v>9068</v>
      </c>
      <c r="E825" s="1">
        <v>163</v>
      </c>
      <c r="F825" s="1">
        <v>1.84</v>
      </c>
      <c r="G825" s="1">
        <v>11860</v>
      </c>
      <c r="H825" s="1">
        <v>28.93</v>
      </c>
      <c r="I825" s="1" t="s">
        <v>13</v>
      </c>
      <c r="J825" s="1" t="s">
        <v>20</v>
      </c>
      <c r="K825" s="26">
        <v>4</v>
      </c>
    </row>
    <row r="826" spans="1:11" x14ac:dyDescent="0.25">
      <c r="A826" s="25" t="s">
        <v>15</v>
      </c>
      <c r="B826" s="1" t="s">
        <v>12</v>
      </c>
      <c r="C826" s="2">
        <v>159109</v>
      </c>
      <c r="D826" s="2">
        <v>8295</v>
      </c>
      <c r="E826" s="1">
        <v>994</v>
      </c>
      <c r="F826" s="1">
        <v>4.01</v>
      </c>
      <c r="G826" s="1">
        <v>5898</v>
      </c>
      <c r="H826" s="1">
        <v>4.91</v>
      </c>
      <c r="I826" s="1" t="s">
        <v>13</v>
      </c>
      <c r="J826" s="1" t="s">
        <v>20</v>
      </c>
      <c r="K826" s="26">
        <v>6</v>
      </c>
    </row>
    <row r="827" spans="1:11" x14ac:dyDescent="0.25">
      <c r="A827" s="25" t="s">
        <v>15</v>
      </c>
      <c r="B827" s="1" t="s">
        <v>19</v>
      </c>
      <c r="C827" s="2">
        <v>93986</v>
      </c>
      <c r="D827" s="2">
        <v>42160</v>
      </c>
      <c r="E827" s="1">
        <v>275</v>
      </c>
      <c r="F827" s="1">
        <v>1.21</v>
      </c>
      <c r="G827" s="1">
        <v>6029</v>
      </c>
      <c r="H827" s="1">
        <v>8.98</v>
      </c>
      <c r="I827" s="1" t="s">
        <v>16</v>
      </c>
      <c r="J827" s="1" t="s">
        <v>14</v>
      </c>
      <c r="K827" s="26">
        <v>5</v>
      </c>
    </row>
    <row r="828" spans="1:11" x14ac:dyDescent="0.25">
      <c r="A828" s="25" t="s">
        <v>11</v>
      </c>
      <c r="B828" s="1" t="s">
        <v>27</v>
      </c>
      <c r="C828" s="2">
        <v>91942</v>
      </c>
      <c r="D828" s="2">
        <v>12390</v>
      </c>
      <c r="E828" s="1">
        <v>830</v>
      </c>
      <c r="F828" s="1">
        <v>2.97</v>
      </c>
      <c r="G828" s="1">
        <v>4418</v>
      </c>
      <c r="H828" s="1">
        <v>3</v>
      </c>
      <c r="I828" s="1" t="s">
        <v>26</v>
      </c>
      <c r="J828" s="1" t="s">
        <v>20</v>
      </c>
      <c r="K828" s="26">
        <v>3</v>
      </c>
    </row>
    <row r="829" spans="1:11" x14ac:dyDescent="0.25">
      <c r="A829" s="25" t="s">
        <v>24</v>
      </c>
      <c r="B829" s="1" t="s">
        <v>21</v>
      </c>
      <c r="C829" s="2">
        <v>192684</v>
      </c>
      <c r="D829" s="2">
        <v>42216</v>
      </c>
      <c r="E829" s="1">
        <v>88</v>
      </c>
      <c r="F829" s="1">
        <v>2.77</v>
      </c>
      <c r="G829" s="1">
        <v>17951</v>
      </c>
      <c r="H829" s="1">
        <v>8.15</v>
      </c>
      <c r="I829" s="1" t="s">
        <v>26</v>
      </c>
      <c r="J829" s="1" t="s">
        <v>14</v>
      </c>
      <c r="K829" s="26">
        <v>2</v>
      </c>
    </row>
    <row r="830" spans="1:11" x14ac:dyDescent="0.25">
      <c r="A830" s="25" t="s">
        <v>11</v>
      </c>
      <c r="B830" s="1" t="s">
        <v>25</v>
      </c>
      <c r="C830" s="2">
        <v>39725</v>
      </c>
      <c r="D830" s="2">
        <v>21131</v>
      </c>
      <c r="E830" s="1">
        <v>324</v>
      </c>
      <c r="F830" s="1">
        <v>2.34</v>
      </c>
      <c r="G830" s="1">
        <v>16910</v>
      </c>
      <c r="H830" s="1">
        <v>24.48</v>
      </c>
      <c r="I830" s="1" t="s">
        <v>23</v>
      </c>
      <c r="J830" s="1" t="s">
        <v>20</v>
      </c>
      <c r="K830" s="26">
        <v>9</v>
      </c>
    </row>
    <row r="831" spans="1:11" x14ac:dyDescent="0.25">
      <c r="A831" s="25" t="s">
        <v>15</v>
      </c>
      <c r="B831" s="1" t="s">
        <v>21</v>
      </c>
      <c r="C831" s="2">
        <v>146998</v>
      </c>
      <c r="D831" s="2">
        <v>30218</v>
      </c>
      <c r="E831" s="1">
        <v>671</v>
      </c>
      <c r="F831" s="1">
        <v>2.58</v>
      </c>
      <c r="G831" s="1">
        <v>7437</v>
      </c>
      <c r="H831" s="1">
        <v>11.35</v>
      </c>
      <c r="I831" s="1" t="s">
        <v>22</v>
      </c>
      <c r="J831" s="1" t="s">
        <v>20</v>
      </c>
      <c r="K831" s="26">
        <v>1</v>
      </c>
    </row>
    <row r="832" spans="1:11" x14ac:dyDescent="0.25">
      <c r="A832" s="25" t="s">
        <v>18</v>
      </c>
      <c r="B832" s="1" t="s">
        <v>19</v>
      </c>
      <c r="C832" s="2">
        <v>114555</v>
      </c>
      <c r="D832" s="2">
        <v>11433</v>
      </c>
      <c r="E832" s="1">
        <v>956</v>
      </c>
      <c r="F832" s="1">
        <v>3.12</v>
      </c>
      <c r="G832" s="1">
        <v>7618</v>
      </c>
      <c r="H832" s="1">
        <v>2.65</v>
      </c>
      <c r="I832" s="1" t="s">
        <v>23</v>
      </c>
      <c r="J832" s="1" t="s">
        <v>17</v>
      </c>
      <c r="K832" s="26">
        <v>9</v>
      </c>
    </row>
    <row r="833" spans="1:11" x14ac:dyDescent="0.25">
      <c r="A833" s="25" t="s">
        <v>18</v>
      </c>
      <c r="B833" s="1" t="s">
        <v>25</v>
      </c>
      <c r="C833" s="2">
        <v>19496</v>
      </c>
      <c r="D833" s="2">
        <v>16038</v>
      </c>
      <c r="E833" s="1">
        <v>569</v>
      </c>
      <c r="F833" s="1">
        <v>1.65</v>
      </c>
      <c r="G833" s="1">
        <v>17431</v>
      </c>
      <c r="H833" s="1">
        <v>10.27</v>
      </c>
      <c r="I833" s="1" t="s">
        <v>23</v>
      </c>
      <c r="J833" s="1" t="s">
        <v>14</v>
      </c>
      <c r="K833" s="26">
        <v>1</v>
      </c>
    </row>
    <row r="834" spans="1:11" x14ac:dyDescent="0.25">
      <c r="A834" s="25" t="s">
        <v>11</v>
      </c>
      <c r="B834" s="1" t="s">
        <v>19</v>
      </c>
      <c r="C834" s="2">
        <v>66447</v>
      </c>
      <c r="D834" s="2">
        <v>29182</v>
      </c>
      <c r="E834" s="1">
        <v>926</v>
      </c>
      <c r="F834" s="1">
        <v>3.29</v>
      </c>
      <c r="G834" s="1">
        <v>11360</v>
      </c>
      <c r="H834" s="1">
        <v>29.44</v>
      </c>
      <c r="I834" s="1" t="s">
        <v>23</v>
      </c>
      <c r="J834" s="1" t="s">
        <v>17</v>
      </c>
      <c r="K834" s="26">
        <v>7</v>
      </c>
    </row>
    <row r="835" spans="1:11" x14ac:dyDescent="0.25">
      <c r="A835" s="25" t="s">
        <v>15</v>
      </c>
      <c r="B835" s="1" t="s">
        <v>27</v>
      </c>
      <c r="C835" s="2">
        <v>111604</v>
      </c>
      <c r="D835" s="2">
        <v>12528</v>
      </c>
      <c r="E835" s="1">
        <v>900</v>
      </c>
      <c r="F835" s="1">
        <v>4.22</v>
      </c>
      <c r="G835" s="1">
        <v>5838</v>
      </c>
      <c r="H835" s="1">
        <v>18.89</v>
      </c>
      <c r="I835" s="1" t="s">
        <v>23</v>
      </c>
      <c r="J835" s="1" t="s">
        <v>17</v>
      </c>
      <c r="K835" s="26">
        <v>6</v>
      </c>
    </row>
    <row r="836" spans="1:11" x14ac:dyDescent="0.25">
      <c r="A836" s="25" t="s">
        <v>18</v>
      </c>
      <c r="B836" s="1" t="s">
        <v>12</v>
      </c>
      <c r="C836" s="2">
        <v>170878</v>
      </c>
      <c r="D836" s="2">
        <v>22281</v>
      </c>
      <c r="E836" s="1">
        <v>257</v>
      </c>
      <c r="F836" s="1">
        <v>4.04</v>
      </c>
      <c r="G836" s="1">
        <v>12972</v>
      </c>
      <c r="H836" s="1">
        <v>12.48</v>
      </c>
      <c r="I836" s="1" t="s">
        <v>26</v>
      </c>
      <c r="J836" s="1" t="s">
        <v>14</v>
      </c>
      <c r="K836" s="26">
        <v>7</v>
      </c>
    </row>
    <row r="837" spans="1:11" x14ac:dyDescent="0.25">
      <c r="A837" s="25" t="s">
        <v>15</v>
      </c>
      <c r="B837" s="1" t="s">
        <v>25</v>
      </c>
      <c r="C837" s="2">
        <v>98199</v>
      </c>
      <c r="D837" s="2">
        <v>49511</v>
      </c>
      <c r="E837" s="1">
        <v>799</v>
      </c>
      <c r="F837" s="1">
        <v>1.62</v>
      </c>
      <c r="G837" s="1">
        <v>3640</v>
      </c>
      <c r="H837" s="1">
        <v>5</v>
      </c>
      <c r="I837" s="1" t="s">
        <v>22</v>
      </c>
      <c r="J837" s="1" t="s">
        <v>14</v>
      </c>
      <c r="K837" s="26">
        <v>3</v>
      </c>
    </row>
    <row r="838" spans="1:11" x14ac:dyDescent="0.25">
      <c r="A838" s="25" t="s">
        <v>11</v>
      </c>
      <c r="B838" s="1" t="s">
        <v>27</v>
      </c>
      <c r="C838" s="2">
        <v>51321</v>
      </c>
      <c r="D838" s="2">
        <v>9605</v>
      </c>
      <c r="E838" s="1">
        <v>877</v>
      </c>
      <c r="F838" s="1">
        <v>1.6</v>
      </c>
      <c r="G838" s="1">
        <v>8496</v>
      </c>
      <c r="H838" s="1">
        <v>29.59</v>
      </c>
      <c r="I838" s="1" t="s">
        <v>23</v>
      </c>
      <c r="J838" s="1" t="s">
        <v>20</v>
      </c>
      <c r="K838" s="26">
        <v>3</v>
      </c>
    </row>
    <row r="839" spans="1:11" x14ac:dyDescent="0.25">
      <c r="A839" s="25" t="s">
        <v>18</v>
      </c>
      <c r="B839" s="1" t="s">
        <v>27</v>
      </c>
      <c r="C839" s="2">
        <v>163728</v>
      </c>
      <c r="D839" s="2">
        <v>35782</v>
      </c>
      <c r="E839" s="1">
        <v>619</v>
      </c>
      <c r="F839" s="1">
        <v>2.0699999999999998</v>
      </c>
      <c r="G839" s="1">
        <v>15989</v>
      </c>
      <c r="H839" s="1">
        <v>24.63</v>
      </c>
      <c r="I839" s="1" t="s">
        <v>26</v>
      </c>
      <c r="J839" s="1" t="s">
        <v>14</v>
      </c>
      <c r="K839" s="26">
        <v>1</v>
      </c>
    </row>
    <row r="840" spans="1:11" x14ac:dyDescent="0.25">
      <c r="A840" s="25" t="s">
        <v>15</v>
      </c>
      <c r="B840" s="1" t="s">
        <v>25</v>
      </c>
      <c r="C840" s="2">
        <v>65147</v>
      </c>
      <c r="D840" s="2">
        <v>2381</v>
      </c>
      <c r="E840" s="1">
        <v>423</v>
      </c>
      <c r="F840" s="1">
        <v>2.44</v>
      </c>
      <c r="G840" s="1">
        <v>18474</v>
      </c>
      <c r="H840" s="1">
        <v>8.44</v>
      </c>
      <c r="I840" s="1" t="s">
        <v>23</v>
      </c>
      <c r="J840" s="1" t="s">
        <v>17</v>
      </c>
      <c r="K840" s="26">
        <v>4</v>
      </c>
    </row>
    <row r="841" spans="1:11" x14ac:dyDescent="0.25">
      <c r="A841" s="25" t="s">
        <v>18</v>
      </c>
      <c r="B841" s="1" t="s">
        <v>19</v>
      </c>
      <c r="C841" s="2">
        <v>101396</v>
      </c>
      <c r="D841" s="2">
        <v>2098</v>
      </c>
      <c r="E841" s="1">
        <v>34</v>
      </c>
      <c r="F841" s="1">
        <v>2.63</v>
      </c>
      <c r="G841" s="1">
        <v>14701</v>
      </c>
      <c r="H841" s="1">
        <v>2.1</v>
      </c>
      <c r="I841" s="1" t="s">
        <v>13</v>
      </c>
      <c r="J841" s="1" t="s">
        <v>17</v>
      </c>
      <c r="K841" s="26">
        <v>2</v>
      </c>
    </row>
    <row r="842" spans="1:11" x14ac:dyDescent="0.25">
      <c r="A842" s="25" t="s">
        <v>11</v>
      </c>
      <c r="B842" s="1" t="s">
        <v>27</v>
      </c>
      <c r="C842" s="2">
        <v>190738</v>
      </c>
      <c r="D842" s="2">
        <v>20810</v>
      </c>
      <c r="E842" s="1">
        <v>293</v>
      </c>
      <c r="F842" s="1">
        <v>3.72</v>
      </c>
      <c r="G842" s="1">
        <v>8276</v>
      </c>
      <c r="H842" s="1">
        <v>1.7</v>
      </c>
      <c r="I842" s="1" t="s">
        <v>23</v>
      </c>
      <c r="J842" s="1" t="s">
        <v>14</v>
      </c>
      <c r="K842" s="26">
        <v>8</v>
      </c>
    </row>
    <row r="843" spans="1:11" x14ac:dyDescent="0.25">
      <c r="A843" s="25" t="s">
        <v>15</v>
      </c>
      <c r="B843" s="1" t="s">
        <v>21</v>
      </c>
      <c r="C843" s="2">
        <v>48787</v>
      </c>
      <c r="D843" s="2">
        <v>25322</v>
      </c>
      <c r="E843" s="1">
        <v>458</v>
      </c>
      <c r="F843" s="1">
        <v>1.23</v>
      </c>
      <c r="G843" s="1">
        <v>5443</v>
      </c>
      <c r="H843" s="1">
        <v>3.61</v>
      </c>
      <c r="I843" s="1" t="s">
        <v>23</v>
      </c>
      <c r="J843" s="1" t="s">
        <v>17</v>
      </c>
      <c r="K843" s="26">
        <v>3</v>
      </c>
    </row>
    <row r="844" spans="1:11" x14ac:dyDescent="0.25">
      <c r="A844" s="25" t="s">
        <v>18</v>
      </c>
      <c r="B844" s="1" t="s">
        <v>27</v>
      </c>
      <c r="C844" s="2">
        <v>31727</v>
      </c>
      <c r="D844" s="2">
        <v>42869</v>
      </c>
      <c r="E844" s="1">
        <v>890</v>
      </c>
      <c r="F844" s="1">
        <v>1.1399999999999999</v>
      </c>
      <c r="G844" s="1">
        <v>13386</v>
      </c>
      <c r="H844" s="1">
        <v>17.420000000000002</v>
      </c>
      <c r="I844" s="1" t="s">
        <v>16</v>
      </c>
      <c r="J844" s="1" t="s">
        <v>20</v>
      </c>
      <c r="K844" s="26">
        <v>7</v>
      </c>
    </row>
    <row r="845" spans="1:11" x14ac:dyDescent="0.25">
      <c r="A845" s="25" t="s">
        <v>11</v>
      </c>
      <c r="B845" s="1" t="s">
        <v>19</v>
      </c>
      <c r="C845" s="2">
        <v>105081</v>
      </c>
      <c r="D845" s="2">
        <v>33955</v>
      </c>
      <c r="E845" s="1">
        <v>310</v>
      </c>
      <c r="F845" s="1">
        <v>2.57</v>
      </c>
      <c r="G845" s="1">
        <v>9497</v>
      </c>
      <c r="H845" s="1">
        <v>27.86</v>
      </c>
      <c r="I845" s="1" t="s">
        <v>13</v>
      </c>
      <c r="J845" s="1" t="s">
        <v>17</v>
      </c>
      <c r="K845" s="26">
        <v>7</v>
      </c>
    </row>
    <row r="846" spans="1:11" x14ac:dyDescent="0.25">
      <c r="A846" s="25" t="s">
        <v>18</v>
      </c>
      <c r="B846" s="1" t="s">
        <v>19</v>
      </c>
      <c r="C846" s="2">
        <v>132721</v>
      </c>
      <c r="D846" s="2">
        <v>45716</v>
      </c>
      <c r="E846" s="1">
        <v>77</v>
      </c>
      <c r="F846" s="1">
        <v>3.79</v>
      </c>
      <c r="G846" s="1">
        <v>8298</v>
      </c>
      <c r="H846" s="1">
        <v>14.9</v>
      </c>
      <c r="I846" s="1" t="s">
        <v>22</v>
      </c>
      <c r="J846" s="1" t="s">
        <v>20</v>
      </c>
      <c r="K846" s="26">
        <v>9</v>
      </c>
    </row>
    <row r="847" spans="1:11" x14ac:dyDescent="0.25">
      <c r="A847" s="25" t="s">
        <v>18</v>
      </c>
      <c r="B847" s="1" t="s">
        <v>21</v>
      </c>
      <c r="C847" s="2">
        <v>78056</v>
      </c>
      <c r="D847" s="2">
        <v>11207</v>
      </c>
      <c r="E847" s="1">
        <v>16</v>
      </c>
      <c r="F847" s="1">
        <v>1.77</v>
      </c>
      <c r="G847" s="1">
        <v>18241</v>
      </c>
      <c r="H847" s="1">
        <v>25.29</v>
      </c>
      <c r="I847" s="1" t="s">
        <v>23</v>
      </c>
      <c r="J847" s="1" t="s">
        <v>17</v>
      </c>
      <c r="K847" s="26">
        <v>6</v>
      </c>
    </row>
    <row r="848" spans="1:11" x14ac:dyDescent="0.25">
      <c r="A848" s="25" t="s">
        <v>24</v>
      </c>
      <c r="B848" s="1" t="s">
        <v>27</v>
      </c>
      <c r="C848" s="2">
        <v>144153</v>
      </c>
      <c r="D848" s="2">
        <v>22793</v>
      </c>
      <c r="E848" s="1">
        <v>826</v>
      </c>
      <c r="F848" s="1">
        <v>3.57</v>
      </c>
      <c r="G848" s="1">
        <v>8592</v>
      </c>
      <c r="H848" s="1">
        <v>13.38</v>
      </c>
      <c r="I848" s="1" t="s">
        <v>22</v>
      </c>
      <c r="J848" s="1" t="s">
        <v>20</v>
      </c>
      <c r="K848" s="26">
        <v>1</v>
      </c>
    </row>
    <row r="849" spans="1:11" x14ac:dyDescent="0.25">
      <c r="A849" s="25" t="s">
        <v>24</v>
      </c>
      <c r="B849" s="1" t="s">
        <v>19</v>
      </c>
      <c r="C849" s="2">
        <v>175268</v>
      </c>
      <c r="D849" s="2">
        <v>3092</v>
      </c>
      <c r="E849" s="1">
        <v>146</v>
      </c>
      <c r="F849" s="1">
        <v>2.04</v>
      </c>
      <c r="G849" s="1">
        <v>3725</v>
      </c>
      <c r="H849" s="1">
        <v>21.26</v>
      </c>
      <c r="I849" s="1" t="s">
        <v>13</v>
      </c>
      <c r="J849" s="1" t="s">
        <v>20</v>
      </c>
      <c r="K849" s="26">
        <v>8</v>
      </c>
    </row>
    <row r="850" spans="1:11" x14ac:dyDescent="0.25">
      <c r="A850" s="25" t="s">
        <v>11</v>
      </c>
      <c r="B850" s="1" t="s">
        <v>25</v>
      </c>
      <c r="C850" s="2">
        <v>177807</v>
      </c>
      <c r="D850" s="2">
        <v>29220</v>
      </c>
      <c r="E850" s="1">
        <v>173</v>
      </c>
      <c r="F850" s="1">
        <v>4.54</v>
      </c>
      <c r="G850" s="1">
        <v>12310</v>
      </c>
      <c r="H850" s="1">
        <v>21.96</v>
      </c>
      <c r="I850" s="1" t="s">
        <v>23</v>
      </c>
      <c r="J850" s="1" t="s">
        <v>14</v>
      </c>
      <c r="K850" s="26">
        <v>1</v>
      </c>
    </row>
    <row r="851" spans="1:11" x14ac:dyDescent="0.25">
      <c r="A851" s="25" t="s">
        <v>24</v>
      </c>
      <c r="B851" s="1" t="s">
        <v>12</v>
      </c>
      <c r="C851" s="2">
        <v>90102</v>
      </c>
      <c r="D851" s="2">
        <v>19514</v>
      </c>
      <c r="E851" s="1">
        <v>92</v>
      </c>
      <c r="F851" s="1">
        <v>4.58</v>
      </c>
      <c r="G851" s="1">
        <v>15414</v>
      </c>
      <c r="H851" s="1">
        <v>5.22</v>
      </c>
      <c r="I851" s="1" t="s">
        <v>16</v>
      </c>
      <c r="J851" s="1" t="s">
        <v>20</v>
      </c>
      <c r="K851" s="26">
        <v>3</v>
      </c>
    </row>
    <row r="852" spans="1:11" x14ac:dyDescent="0.25">
      <c r="A852" s="25" t="s">
        <v>11</v>
      </c>
      <c r="B852" s="1" t="s">
        <v>12</v>
      </c>
      <c r="C852" s="2">
        <v>166570</v>
      </c>
      <c r="D852" s="2">
        <v>39010</v>
      </c>
      <c r="E852" s="1">
        <v>906</v>
      </c>
      <c r="F852" s="1">
        <v>2.19</v>
      </c>
      <c r="G852" s="1">
        <v>2960</v>
      </c>
      <c r="H852" s="1">
        <v>10.84</v>
      </c>
      <c r="I852" s="1" t="s">
        <v>26</v>
      </c>
      <c r="J852" s="1" t="s">
        <v>14</v>
      </c>
      <c r="K852" s="26">
        <v>5</v>
      </c>
    </row>
    <row r="853" spans="1:11" x14ac:dyDescent="0.25">
      <c r="A853" s="25" t="s">
        <v>24</v>
      </c>
      <c r="B853" s="1" t="s">
        <v>12</v>
      </c>
      <c r="C853" s="2">
        <v>86865</v>
      </c>
      <c r="D853" s="2">
        <v>9549</v>
      </c>
      <c r="E853" s="1">
        <v>659</v>
      </c>
      <c r="F853" s="1">
        <v>1.92</v>
      </c>
      <c r="G853" s="1">
        <v>9237</v>
      </c>
      <c r="H853" s="1">
        <v>19.12</v>
      </c>
      <c r="I853" s="1" t="s">
        <v>16</v>
      </c>
      <c r="J853" s="1" t="s">
        <v>17</v>
      </c>
      <c r="K853" s="26">
        <v>8</v>
      </c>
    </row>
    <row r="854" spans="1:11" x14ac:dyDescent="0.25">
      <c r="A854" s="25" t="s">
        <v>18</v>
      </c>
      <c r="B854" s="1" t="s">
        <v>27</v>
      </c>
      <c r="C854" s="2">
        <v>172728</v>
      </c>
      <c r="D854" s="2">
        <v>23031</v>
      </c>
      <c r="E854" s="1">
        <v>429</v>
      </c>
      <c r="F854" s="1">
        <v>2.65</v>
      </c>
      <c r="G854" s="1">
        <v>14420</v>
      </c>
      <c r="H854" s="1">
        <v>2.12</v>
      </c>
      <c r="I854" s="1" t="s">
        <v>16</v>
      </c>
      <c r="J854" s="1" t="s">
        <v>17</v>
      </c>
      <c r="K854" s="26">
        <v>9</v>
      </c>
    </row>
    <row r="855" spans="1:11" x14ac:dyDescent="0.25">
      <c r="A855" s="25" t="s">
        <v>11</v>
      </c>
      <c r="B855" s="1" t="s">
        <v>21</v>
      </c>
      <c r="C855" s="2">
        <v>77695</v>
      </c>
      <c r="D855" s="2">
        <v>6185</v>
      </c>
      <c r="E855" s="1">
        <v>82</v>
      </c>
      <c r="F855" s="1">
        <v>1.96</v>
      </c>
      <c r="G855" s="1">
        <v>19612</v>
      </c>
      <c r="H855" s="1">
        <v>10.85</v>
      </c>
      <c r="I855" s="1" t="s">
        <v>26</v>
      </c>
      <c r="J855" s="1" t="s">
        <v>17</v>
      </c>
      <c r="K855" s="26">
        <v>7</v>
      </c>
    </row>
    <row r="856" spans="1:11" x14ac:dyDescent="0.25">
      <c r="A856" s="25" t="s">
        <v>11</v>
      </c>
      <c r="B856" s="1" t="s">
        <v>19</v>
      </c>
      <c r="C856" s="2">
        <v>178972</v>
      </c>
      <c r="D856" s="2">
        <v>16271</v>
      </c>
      <c r="E856" s="1">
        <v>246</v>
      </c>
      <c r="F856" s="1">
        <v>3.69</v>
      </c>
      <c r="G856" s="1">
        <v>11254</v>
      </c>
      <c r="H856" s="1">
        <v>16.04</v>
      </c>
      <c r="I856" s="1" t="s">
        <v>26</v>
      </c>
      <c r="J856" s="1" t="s">
        <v>20</v>
      </c>
      <c r="K856" s="26">
        <v>9</v>
      </c>
    </row>
    <row r="857" spans="1:11" x14ac:dyDescent="0.25">
      <c r="A857" s="25" t="s">
        <v>18</v>
      </c>
      <c r="B857" s="1" t="s">
        <v>25</v>
      </c>
      <c r="C857" s="2">
        <v>127235</v>
      </c>
      <c r="D857" s="2">
        <v>6776</v>
      </c>
      <c r="E857" s="1">
        <v>55</v>
      </c>
      <c r="F857" s="1">
        <v>4.3</v>
      </c>
      <c r="G857" s="1">
        <v>11333</v>
      </c>
      <c r="H857" s="1">
        <v>29.89</v>
      </c>
      <c r="I857" s="1" t="s">
        <v>26</v>
      </c>
      <c r="J857" s="1" t="s">
        <v>17</v>
      </c>
      <c r="K857" s="26">
        <v>3</v>
      </c>
    </row>
    <row r="858" spans="1:11" x14ac:dyDescent="0.25">
      <c r="A858" s="25" t="s">
        <v>11</v>
      </c>
      <c r="B858" s="1" t="s">
        <v>25</v>
      </c>
      <c r="C858" s="2">
        <v>188773</v>
      </c>
      <c r="D858" s="2">
        <v>13449</v>
      </c>
      <c r="E858" s="1">
        <v>627</v>
      </c>
      <c r="F858" s="1">
        <v>3.69</v>
      </c>
      <c r="G858" s="1">
        <v>3614</v>
      </c>
      <c r="H858" s="1">
        <v>14.24</v>
      </c>
      <c r="I858" s="1" t="s">
        <v>23</v>
      </c>
      <c r="J858" s="1" t="s">
        <v>17</v>
      </c>
      <c r="K858" s="26">
        <v>5</v>
      </c>
    </row>
    <row r="859" spans="1:11" x14ac:dyDescent="0.25">
      <c r="A859" s="25" t="s">
        <v>11</v>
      </c>
      <c r="B859" s="1" t="s">
        <v>27</v>
      </c>
      <c r="C859" s="2">
        <v>118777</v>
      </c>
      <c r="D859" s="2">
        <v>25297</v>
      </c>
      <c r="E859" s="1">
        <v>937</v>
      </c>
      <c r="F859" s="1">
        <v>4.3</v>
      </c>
      <c r="G859" s="1">
        <v>17500</v>
      </c>
      <c r="H859" s="1">
        <v>24.48</v>
      </c>
      <c r="I859" s="1" t="s">
        <v>22</v>
      </c>
      <c r="J859" s="1" t="s">
        <v>14</v>
      </c>
      <c r="K859" s="26">
        <v>8</v>
      </c>
    </row>
    <row r="860" spans="1:11" x14ac:dyDescent="0.25">
      <c r="A860" s="25" t="s">
        <v>24</v>
      </c>
      <c r="B860" s="1" t="s">
        <v>12</v>
      </c>
      <c r="C860" s="2">
        <v>29033</v>
      </c>
      <c r="D860" s="2">
        <v>41591</v>
      </c>
      <c r="E860" s="1">
        <v>809</v>
      </c>
      <c r="F860" s="1">
        <v>2.59</v>
      </c>
      <c r="G860" s="1">
        <v>15860</v>
      </c>
      <c r="H860" s="1">
        <v>12.96</v>
      </c>
      <c r="I860" s="1" t="s">
        <v>22</v>
      </c>
      <c r="J860" s="1" t="s">
        <v>14</v>
      </c>
      <c r="K860" s="26">
        <v>1</v>
      </c>
    </row>
    <row r="861" spans="1:11" x14ac:dyDescent="0.25">
      <c r="A861" s="25" t="s">
        <v>11</v>
      </c>
      <c r="B861" s="1" t="s">
        <v>27</v>
      </c>
      <c r="C861" s="2">
        <v>151877</v>
      </c>
      <c r="D861" s="2">
        <v>16717</v>
      </c>
      <c r="E861" s="1">
        <v>271</v>
      </c>
      <c r="F861" s="1">
        <v>1.63</v>
      </c>
      <c r="G861" s="1">
        <v>18087</v>
      </c>
      <c r="H861" s="1">
        <v>23.89</v>
      </c>
      <c r="I861" s="1" t="s">
        <v>26</v>
      </c>
      <c r="J861" s="1" t="s">
        <v>17</v>
      </c>
      <c r="K861" s="26">
        <v>8</v>
      </c>
    </row>
    <row r="862" spans="1:11" x14ac:dyDescent="0.25">
      <c r="A862" s="25" t="s">
        <v>15</v>
      </c>
      <c r="B862" s="1" t="s">
        <v>21</v>
      </c>
      <c r="C862" s="2">
        <v>176923</v>
      </c>
      <c r="D862" s="2">
        <v>41123</v>
      </c>
      <c r="E862" s="1">
        <v>185</v>
      </c>
      <c r="F862" s="1">
        <v>3.95</v>
      </c>
      <c r="G862" s="1">
        <v>10451</v>
      </c>
      <c r="H862" s="1">
        <v>17.86</v>
      </c>
      <c r="I862" s="1" t="s">
        <v>16</v>
      </c>
      <c r="J862" s="1" t="s">
        <v>17</v>
      </c>
      <c r="K862" s="26">
        <v>7</v>
      </c>
    </row>
    <row r="863" spans="1:11" x14ac:dyDescent="0.25">
      <c r="A863" s="25" t="s">
        <v>18</v>
      </c>
      <c r="B863" s="1" t="s">
        <v>21</v>
      </c>
      <c r="C863" s="2">
        <v>36832</v>
      </c>
      <c r="D863" s="2">
        <v>40233</v>
      </c>
      <c r="E863" s="1">
        <v>175</v>
      </c>
      <c r="F863" s="1">
        <v>2.44</v>
      </c>
      <c r="G863" s="1">
        <v>3065</v>
      </c>
      <c r="H863" s="1">
        <v>26.6</v>
      </c>
      <c r="I863" s="1" t="s">
        <v>13</v>
      </c>
      <c r="J863" s="1" t="s">
        <v>20</v>
      </c>
      <c r="K863" s="26">
        <v>1</v>
      </c>
    </row>
    <row r="864" spans="1:11" x14ac:dyDescent="0.25">
      <c r="A864" s="25" t="s">
        <v>24</v>
      </c>
      <c r="B864" s="1" t="s">
        <v>19</v>
      </c>
      <c r="C864" s="2">
        <v>125725</v>
      </c>
      <c r="D864" s="2">
        <v>46505</v>
      </c>
      <c r="E864" s="1">
        <v>666</v>
      </c>
      <c r="F864" s="1">
        <v>3.69</v>
      </c>
      <c r="G864" s="1">
        <v>3674</v>
      </c>
      <c r="H864" s="1">
        <v>12.33</v>
      </c>
      <c r="I864" s="1" t="s">
        <v>26</v>
      </c>
      <c r="J864" s="1" t="s">
        <v>20</v>
      </c>
      <c r="K864" s="26">
        <v>6</v>
      </c>
    </row>
    <row r="865" spans="1:11" x14ac:dyDescent="0.25">
      <c r="A865" s="25" t="s">
        <v>24</v>
      </c>
      <c r="B865" s="1" t="s">
        <v>19</v>
      </c>
      <c r="C865" s="2">
        <v>155016</v>
      </c>
      <c r="D865" s="2">
        <v>47092</v>
      </c>
      <c r="E865" s="1">
        <v>851</v>
      </c>
      <c r="F865" s="1">
        <v>2.08</v>
      </c>
      <c r="G865" s="1">
        <v>19965</v>
      </c>
      <c r="H865" s="1">
        <v>18.13</v>
      </c>
      <c r="I865" s="1" t="s">
        <v>16</v>
      </c>
      <c r="J865" s="1" t="s">
        <v>17</v>
      </c>
      <c r="K865" s="26">
        <v>1</v>
      </c>
    </row>
    <row r="866" spans="1:11" x14ac:dyDescent="0.25">
      <c r="A866" s="25" t="s">
        <v>15</v>
      </c>
      <c r="B866" s="1" t="s">
        <v>21</v>
      </c>
      <c r="C866" s="2">
        <v>29873</v>
      </c>
      <c r="D866" s="2">
        <v>11350</v>
      </c>
      <c r="E866" s="1">
        <v>379</v>
      </c>
      <c r="F866" s="1">
        <v>1.32</v>
      </c>
      <c r="G866" s="1">
        <v>3130</v>
      </c>
      <c r="H866" s="1">
        <v>18.899999999999999</v>
      </c>
      <c r="I866" s="1" t="s">
        <v>16</v>
      </c>
      <c r="J866" s="1" t="s">
        <v>14</v>
      </c>
      <c r="K866" s="26">
        <v>2</v>
      </c>
    </row>
    <row r="867" spans="1:11" x14ac:dyDescent="0.25">
      <c r="A867" s="25" t="s">
        <v>18</v>
      </c>
      <c r="B867" s="1" t="s">
        <v>21</v>
      </c>
      <c r="C867" s="2">
        <v>50372</v>
      </c>
      <c r="D867" s="2">
        <v>31622</v>
      </c>
      <c r="E867" s="1">
        <v>804</v>
      </c>
      <c r="F867" s="1">
        <v>4.97</v>
      </c>
      <c r="G867" s="1">
        <v>3661</v>
      </c>
      <c r="H867" s="1">
        <v>12.52</v>
      </c>
      <c r="I867" s="1" t="s">
        <v>23</v>
      </c>
      <c r="J867" s="1" t="s">
        <v>17</v>
      </c>
      <c r="K867" s="26">
        <v>5</v>
      </c>
    </row>
    <row r="868" spans="1:11" x14ac:dyDescent="0.25">
      <c r="A868" s="25" t="s">
        <v>18</v>
      </c>
      <c r="B868" s="1" t="s">
        <v>21</v>
      </c>
      <c r="C868" s="2">
        <v>99464</v>
      </c>
      <c r="D868" s="2">
        <v>36323</v>
      </c>
      <c r="E868" s="1">
        <v>63</v>
      </c>
      <c r="F868" s="1">
        <v>1.62</v>
      </c>
      <c r="G868" s="1">
        <v>4821</v>
      </c>
      <c r="H868" s="1">
        <v>4.33</v>
      </c>
      <c r="I868" s="1" t="s">
        <v>23</v>
      </c>
      <c r="J868" s="1" t="s">
        <v>20</v>
      </c>
      <c r="K868" s="26">
        <v>2</v>
      </c>
    </row>
    <row r="869" spans="1:11" x14ac:dyDescent="0.25">
      <c r="A869" s="25" t="s">
        <v>24</v>
      </c>
      <c r="B869" s="1" t="s">
        <v>27</v>
      </c>
      <c r="C869" s="2">
        <v>156451</v>
      </c>
      <c r="D869" s="2">
        <v>3951</v>
      </c>
      <c r="E869" s="1">
        <v>699</v>
      </c>
      <c r="F869" s="1">
        <v>4.95</v>
      </c>
      <c r="G869" s="1">
        <v>13704</v>
      </c>
      <c r="H869" s="1">
        <v>2.81</v>
      </c>
      <c r="I869" s="1" t="s">
        <v>22</v>
      </c>
      <c r="J869" s="1" t="s">
        <v>14</v>
      </c>
      <c r="K869" s="26">
        <v>1</v>
      </c>
    </row>
    <row r="870" spans="1:11" x14ac:dyDescent="0.25">
      <c r="A870" s="25" t="s">
        <v>11</v>
      </c>
      <c r="B870" s="1" t="s">
        <v>21</v>
      </c>
      <c r="C870" s="2">
        <v>127322</v>
      </c>
      <c r="D870" s="2">
        <v>18622</v>
      </c>
      <c r="E870" s="1">
        <v>428</v>
      </c>
      <c r="F870" s="1">
        <v>4.91</v>
      </c>
      <c r="G870" s="1">
        <v>7599</v>
      </c>
      <c r="H870" s="1">
        <v>0.5</v>
      </c>
      <c r="I870" s="1" t="s">
        <v>22</v>
      </c>
      <c r="J870" s="1" t="s">
        <v>14</v>
      </c>
      <c r="K870" s="26">
        <v>6</v>
      </c>
    </row>
    <row r="871" spans="1:11" x14ac:dyDescent="0.25">
      <c r="A871" s="25" t="s">
        <v>24</v>
      </c>
      <c r="B871" s="1" t="s">
        <v>25</v>
      </c>
      <c r="C871" s="2">
        <v>177823</v>
      </c>
      <c r="D871" s="2">
        <v>5727</v>
      </c>
      <c r="E871" s="1">
        <v>765</v>
      </c>
      <c r="F871" s="1">
        <v>4.18</v>
      </c>
      <c r="G871" s="1">
        <v>11860</v>
      </c>
      <c r="H871" s="1">
        <v>26.21</v>
      </c>
      <c r="I871" s="1" t="s">
        <v>13</v>
      </c>
      <c r="J871" s="1" t="s">
        <v>20</v>
      </c>
      <c r="K871" s="26">
        <v>8</v>
      </c>
    </row>
    <row r="872" spans="1:11" x14ac:dyDescent="0.25">
      <c r="A872" s="25" t="s">
        <v>18</v>
      </c>
      <c r="B872" s="1" t="s">
        <v>12</v>
      </c>
      <c r="C872" s="2">
        <v>110082</v>
      </c>
      <c r="D872" s="2">
        <v>39454</v>
      </c>
      <c r="E872" s="1">
        <v>516</v>
      </c>
      <c r="F872" s="1">
        <v>3.64</v>
      </c>
      <c r="G872" s="1">
        <v>10813</v>
      </c>
      <c r="H872" s="1">
        <v>7.09</v>
      </c>
      <c r="I872" s="1" t="s">
        <v>13</v>
      </c>
      <c r="J872" s="1" t="s">
        <v>17</v>
      </c>
      <c r="K872" s="26">
        <v>8</v>
      </c>
    </row>
    <row r="873" spans="1:11" x14ac:dyDescent="0.25">
      <c r="A873" s="25" t="s">
        <v>15</v>
      </c>
      <c r="B873" s="1" t="s">
        <v>21</v>
      </c>
      <c r="C873" s="2">
        <v>15110</v>
      </c>
      <c r="D873" s="2">
        <v>37469</v>
      </c>
      <c r="E873" s="1">
        <v>350</v>
      </c>
      <c r="F873" s="1">
        <v>3.31</v>
      </c>
      <c r="G873" s="1">
        <v>14002</v>
      </c>
      <c r="H873" s="1">
        <v>6.35</v>
      </c>
      <c r="I873" s="1" t="s">
        <v>13</v>
      </c>
      <c r="J873" s="1" t="s">
        <v>17</v>
      </c>
      <c r="K873" s="26">
        <v>8</v>
      </c>
    </row>
    <row r="874" spans="1:11" x14ac:dyDescent="0.25">
      <c r="A874" s="25" t="s">
        <v>24</v>
      </c>
      <c r="B874" s="1" t="s">
        <v>12</v>
      </c>
      <c r="C874" s="2">
        <v>195413</v>
      </c>
      <c r="D874" s="2">
        <v>36548</v>
      </c>
      <c r="E874" s="1">
        <v>136</v>
      </c>
      <c r="F874" s="1">
        <v>4.46</v>
      </c>
      <c r="G874" s="1">
        <v>6301</v>
      </c>
      <c r="H874" s="1">
        <v>22.08</v>
      </c>
      <c r="I874" s="1" t="s">
        <v>13</v>
      </c>
      <c r="J874" s="1" t="s">
        <v>17</v>
      </c>
      <c r="K874" s="26">
        <v>6</v>
      </c>
    </row>
    <row r="875" spans="1:11" x14ac:dyDescent="0.25">
      <c r="A875" s="25" t="s">
        <v>18</v>
      </c>
      <c r="B875" s="1" t="s">
        <v>27</v>
      </c>
      <c r="C875" s="2">
        <v>22087</v>
      </c>
      <c r="D875" s="2">
        <v>24782</v>
      </c>
      <c r="E875" s="1">
        <v>418</v>
      </c>
      <c r="F875" s="1">
        <v>2.16</v>
      </c>
      <c r="G875" s="1">
        <v>14630</v>
      </c>
      <c r="H875" s="1">
        <v>9.6</v>
      </c>
      <c r="I875" s="1" t="s">
        <v>16</v>
      </c>
      <c r="J875" s="1" t="s">
        <v>20</v>
      </c>
      <c r="K875" s="26">
        <v>3</v>
      </c>
    </row>
    <row r="876" spans="1:11" x14ac:dyDescent="0.25">
      <c r="A876" s="25" t="s">
        <v>24</v>
      </c>
      <c r="B876" s="1" t="s">
        <v>12</v>
      </c>
      <c r="C876" s="2">
        <v>164834</v>
      </c>
      <c r="D876" s="2">
        <v>29454</v>
      </c>
      <c r="E876" s="1">
        <v>933</v>
      </c>
      <c r="F876" s="1">
        <v>2.87</v>
      </c>
      <c r="G876" s="1">
        <v>14771</v>
      </c>
      <c r="H876" s="1">
        <v>15.18</v>
      </c>
      <c r="I876" s="1" t="s">
        <v>16</v>
      </c>
      <c r="J876" s="1" t="s">
        <v>14</v>
      </c>
      <c r="K876" s="26">
        <v>1</v>
      </c>
    </row>
    <row r="877" spans="1:11" x14ac:dyDescent="0.25">
      <c r="A877" s="25" t="s">
        <v>11</v>
      </c>
      <c r="B877" s="1" t="s">
        <v>27</v>
      </c>
      <c r="C877" s="2">
        <v>92617</v>
      </c>
      <c r="D877" s="2">
        <v>3368</v>
      </c>
      <c r="E877" s="1">
        <v>376</v>
      </c>
      <c r="F877" s="1">
        <v>3.48</v>
      </c>
      <c r="G877" s="1">
        <v>16575</v>
      </c>
      <c r="H877" s="1">
        <v>4.88</v>
      </c>
      <c r="I877" s="1" t="s">
        <v>22</v>
      </c>
      <c r="J877" s="1" t="s">
        <v>20</v>
      </c>
      <c r="K877" s="26">
        <v>2</v>
      </c>
    </row>
    <row r="878" spans="1:11" x14ac:dyDescent="0.25">
      <c r="A878" s="25" t="s">
        <v>24</v>
      </c>
      <c r="B878" s="1" t="s">
        <v>25</v>
      </c>
      <c r="C878" s="2">
        <v>110483</v>
      </c>
      <c r="D878" s="2">
        <v>16592</v>
      </c>
      <c r="E878" s="1">
        <v>280</v>
      </c>
      <c r="F878" s="1">
        <v>2.64</v>
      </c>
      <c r="G878" s="1">
        <v>4651</v>
      </c>
      <c r="H878" s="1">
        <v>28.79</v>
      </c>
      <c r="I878" s="1" t="s">
        <v>23</v>
      </c>
      <c r="J878" s="1" t="s">
        <v>17</v>
      </c>
      <c r="K878" s="26">
        <v>5</v>
      </c>
    </row>
    <row r="879" spans="1:11" x14ac:dyDescent="0.25">
      <c r="A879" s="25" t="s">
        <v>24</v>
      </c>
      <c r="B879" s="1" t="s">
        <v>27</v>
      </c>
      <c r="C879" s="2">
        <v>19596</v>
      </c>
      <c r="D879" s="2">
        <v>23173</v>
      </c>
      <c r="E879" s="1">
        <v>653</v>
      </c>
      <c r="F879" s="1">
        <v>2.71</v>
      </c>
      <c r="G879" s="1">
        <v>9411</v>
      </c>
      <c r="H879" s="1">
        <v>25.55</v>
      </c>
      <c r="I879" s="1" t="s">
        <v>23</v>
      </c>
      <c r="J879" s="1" t="s">
        <v>20</v>
      </c>
      <c r="K879" s="26">
        <v>5</v>
      </c>
    </row>
    <row r="880" spans="1:11" x14ac:dyDescent="0.25">
      <c r="A880" s="25" t="s">
        <v>18</v>
      </c>
      <c r="B880" s="1" t="s">
        <v>27</v>
      </c>
      <c r="C880" s="2">
        <v>117539</v>
      </c>
      <c r="D880" s="2">
        <v>34204</v>
      </c>
      <c r="E880" s="1">
        <v>614</v>
      </c>
      <c r="F880" s="1">
        <v>2.3199999999999998</v>
      </c>
      <c r="G880" s="1">
        <v>19484</v>
      </c>
      <c r="H880" s="1">
        <v>25.91</v>
      </c>
      <c r="I880" s="1" t="s">
        <v>26</v>
      </c>
      <c r="J880" s="1" t="s">
        <v>14</v>
      </c>
      <c r="K880" s="26">
        <v>1</v>
      </c>
    </row>
    <row r="881" spans="1:11" x14ac:dyDescent="0.25">
      <c r="A881" s="25" t="s">
        <v>18</v>
      </c>
      <c r="B881" s="1" t="s">
        <v>19</v>
      </c>
      <c r="C881" s="2">
        <v>28313</v>
      </c>
      <c r="D881" s="2">
        <v>36596</v>
      </c>
      <c r="E881" s="1">
        <v>388</v>
      </c>
      <c r="F881" s="1">
        <v>3.26</v>
      </c>
      <c r="G881" s="1">
        <v>13361</v>
      </c>
      <c r="H881" s="1">
        <v>12.2</v>
      </c>
      <c r="I881" s="1" t="s">
        <v>16</v>
      </c>
      <c r="J881" s="1" t="s">
        <v>20</v>
      </c>
      <c r="K881" s="26">
        <v>1</v>
      </c>
    </row>
    <row r="882" spans="1:11" x14ac:dyDescent="0.25">
      <c r="A882" s="25" t="s">
        <v>18</v>
      </c>
      <c r="B882" s="1" t="s">
        <v>21</v>
      </c>
      <c r="C882" s="2">
        <v>123175</v>
      </c>
      <c r="D882" s="2">
        <v>35324</v>
      </c>
      <c r="E882" s="1">
        <v>82</v>
      </c>
      <c r="F882" s="1">
        <v>4.4000000000000004</v>
      </c>
      <c r="G882" s="1">
        <v>1166</v>
      </c>
      <c r="H882" s="1">
        <v>22.87</v>
      </c>
      <c r="I882" s="1" t="s">
        <v>13</v>
      </c>
      <c r="J882" s="1" t="s">
        <v>17</v>
      </c>
      <c r="K882" s="26">
        <v>9</v>
      </c>
    </row>
    <row r="883" spans="1:11" x14ac:dyDescent="0.25">
      <c r="A883" s="25" t="s">
        <v>24</v>
      </c>
      <c r="B883" s="1" t="s">
        <v>21</v>
      </c>
      <c r="C883" s="2">
        <v>124914</v>
      </c>
      <c r="D883" s="2">
        <v>47132</v>
      </c>
      <c r="E883" s="1">
        <v>932</v>
      </c>
      <c r="F883" s="1">
        <v>1.81</v>
      </c>
      <c r="G883" s="1">
        <v>17167</v>
      </c>
      <c r="H883" s="1">
        <v>4.32</v>
      </c>
      <c r="I883" s="1" t="s">
        <v>13</v>
      </c>
      <c r="J883" s="1" t="s">
        <v>14</v>
      </c>
      <c r="K883" s="26">
        <v>2</v>
      </c>
    </row>
    <row r="884" spans="1:11" x14ac:dyDescent="0.25">
      <c r="A884" s="25" t="s">
        <v>11</v>
      </c>
      <c r="B884" s="1" t="s">
        <v>25</v>
      </c>
      <c r="C884" s="2">
        <v>33705</v>
      </c>
      <c r="D884" s="2">
        <v>24864</v>
      </c>
      <c r="E884" s="1">
        <v>931</v>
      </c>
      <c r="F884" s="1">
        <v>4.74</v>
      </c>
      <c r="G884" s="1">
        <v>6340</v>
      </c>
      <c r="H884" s="1">
        <v>0.26</v>
      </c>
      <c r="I884" s="1" t="s">
        <v>26</v>
      </c>
      <c r="J884" s="1" t="s">
        <v>20</v>
      </c>
      <c r="K884" s="26">
        <v>7</v>
      </c>
    </row>
    <row r="885" spans="1:11" x14ac:dyDescent="0.25">
      <c r="A885" s="25" t="s">
        <v>15</v>
      </c>
      <c r="B885" s="1" t="s">
        <v>25</v>
      </c>
      <c r="C885" s="2">
        <v>83445</v>
      </c>
      <c r="D885" s="2">
        <v>48829</v>
      </c>
      <c r="E885" s="1">
        <v>924</v>
      </c>
      <c r="F885" s="1">
        <v>3.76</v>
      </c>
      <c r="G885" s="1">
        <v>4065</v>
      </c>
      <c r="H885" s="1">
        <v>0.6</v>
      </c>
      <c r="I885" s="1" t="s">
        <v>23</v>
      </c>
      <c r="J885" s="1" t="s">
        <v>20</v>
      </c>
      <c r="K885" s="26">
        <v>4</v>
      </c>
    </row>
    <row r="886" spans="1:11" x14ac:dyDescent="0.25">
      <c r="A886" s="25" t="s">
        <v>15</v>
      </c>
      <c r="B886" s="1" t="s">
        <v>21</v>
      </c>
      <c r="C886" s="2">
        <v>113892</v>
      </c>
      <c r="D886" s="2">
        <v>31750</v>
      </c>
      <c r="E886" s="1">
        <v>257</v>
      </c>
      <c r="F886" s="1">
        <v>4.29</v>
      </c>
      <c r="G886" s="1">
        <v>10926</v>
      </c>
      <c r="H886" s="1">
        <v>17.600000000000001</v>
      </c>
      <c r="I886" s="1" t="s">
        <v>13</v>
      </c>
      <c r="J886" s="1" t="s">
        <v>14</v>
      </c>
      <c r="K886" s="26">
        <v>7</v>
      </c>
    </row>
    <row r="887" spans="1:11" x14ac:dyDescent="0.25">
      <c r="A887" s="25" t="s">
        <v>18</v>
      </c>
      <c r="B887" s="1" t="s">
        <v>19</v>
      </c>
      <c r="C887" s="2">
        <v>12023</v>
      </c>
      <c r="D887" s="2">
        <v>11576</v>
      </c>
      <c r="E887" s="1">
        <v>869</v>
      </c>
      <c r="F887" s="1">
        <v>3.22</v>
      </c>
      <c r="G887" s="1">
        <v>18349</v>
      </c>
      <c r="H887" s="1">
        <v>13.66</v>
      </c>
      <c r="I887" s="1" t="s">
        <v>23</v>
      </c>
      <c r="J887" s="1" t="s">
        <v>14</v>
      </c>
      <c r="K887" s="26">
        <v>8</v>
      </c>
    </row>
    <row r="888" spans="1:11" x14ac:dyDescent="0.25">
      <c r="A888" s="25" t="s">
        <v>18</v>
      </c>
      <c r="B888" s="1" t="s">
        <v>21</v>
      </c>
      <c r="C888" s="2">
        <v>129654</v>
      </c>
      <c r="D888" s="2">
        <v>17566</v>
      </c>
      <c r="E888" s="1">
        <v>794</v>
      </c>
      <c r="F888" s="1">
        <v>4.12</v>
      </c>
      <c r="G888" s="1">
        <v>7866</v>
      </c>
      <c r="H888" s="1">
        <v>15.54</v>
      </c>
      <c r="I888" s="1" t="s">
        <v>26</v>
      </c>
      <c r="J888" s="1" t="s">
        <v>17</v>
      </c>
      <c r="K888" s="26">
        <v>5</v>
      </c>
    </row>
    <row r="889" spans="1:11" x14ac:dyDescent="0.25">
      <c r="A889" s="25" t="s">
        <v>24</v>
      </c>
      <c r="B889" s="1" t="s">
        <v>19</v>
      </c>
      <c r="C889" s="2">
        <v>90073</v>
      </c>
      <c r="D889" s="2">
        <v>8190</v>
      </c>
      <c r="E889" s="1">
        <v>52</v>
      </c>
      <c r="F889" s="1">
        <v>1.06</v>
      </c>
      <c r="G889" s="1">
        <v>16130</v>
      </c>
      <c r="H889" s="1">
        <v>0.22</v>
      </c>
      <c r="I889" s="1" t="s">
        <v>23</v>
      </c>
      <c r="J889" s="1" t="s">
        <v>14</v>
      </c>
      <c r="K889" s="26">
        <v>1</v>
      </c>
    </row>
    <row r="890" spans="1:11" x14ac:dyDescent="0.25">
      <c r="A890" s="25" t="s">
        <v>15</v>
      </c>
      <c r="B890" s="1" t="s">
        <v>25</v>
      </c>
      <c r="C890" s="2">
        <v>102197</v>
      </c>
      <c r="D890" s="2">
        <v>24071</v>
      </c>
      <c r="E890" s="1">
        <v>386</v>
      </c>
      <c r="F890" s="1">
        <v>4.2699999999999996</v>
      </c>
      <c r="G890" s="1">
        <v>7882</v>
      </c>
      <c r="H890" s="1">
        <v>12.68</v>
      </c>
      <c r="I890" s="1" t="s">
        <v>23</v>
      </c>
      <c r="J890" s="1" t="s">
        <v>17</v>
      </c>
      <c r="K890" s="26">
        <v>4</v>
      </c>
    </row>
    <row r="891" spans="1:11" x14ac:dyDescent="0.25">
      <c r="A891" s="25" t="s">
        <v>18</v>
      </c>
      <c r="B891" s="1" t="s">
        <v>12</v>
      </c>
      <c r="C891" s="2">
        <v>74429</v>
      </c>
      <c r="D891" s="2">
        <v>39333</v>
      </c>
      <c r="E891" s="1">
        <v>50</v>
      </c>
      <c r="F891" s="1">
        <v>1.1599999999999999</v>
      </c>
      <c r="G891" s="1">
        <v>16649</v>
      </c>
      <c r="H891" s="1">
        <v>21.54</v>
      </c>
      <c r="I891" s="1" t="s">
        <v>23</v>
      </c>
      <c r="J891" s="1" t="s">
        <v>20</v>
      </c>
      <c r="K891" s="26">
        <v>3</v>
      </c>
    </row>
    <row r="892" spans="1:11" x14ac:dyDescent="0.25">
      <c r="A892" s="25" t="s">
        <v>11</v>
      </c>
      <c r="B892" s="1" t="s">
        <v>25</v>
      </c>
      <c r="C892" s="2">
        <v>114195</v>
      </c>
      <c r="D892" s="2">
        <v>16369</v>
      </c>
      <c r="E892" s="1">
        <v>179</v>
      </c>
      <c r="F892" s="1">
        <v>4.5599999999999996</v>
      </c>
      <c r="G892" s="1">
        <v>16371</v>
      </c>
      <c r="H892" s="1">
        <v>13.28</v>
      </c>
      <c r="I892" s="1" t="s">
        <v>13</v>
      </c>
      <c r="J892" s="1" t="s">
        <v>17</v>
      </c>
      <c r="K892" s="26">
        <v>5</v>
      </c>
    </row>
    <row r="893" spans="1:11" x14ac:dyDescent="0.25">
      <c r="A893" s="25" t="s">
        <v>11</v>
      </c>
      <c r="B893" s="1" t="s">
        <v>25</v>
      </c>
      <c r="C893" s="2">
        <v>43848</v>
      </c>
      <c r="D893" s="2">
        <v>25035</v>
      </c>
      <c r="E893" s="1">
        <v>955</v>
      </c>
      <c r="F893" s="1">
        <v>4.97</v>
      </c>
      <c r="G893" s="1">
        <v>13773</v>
      </c>
      <c r="H893" s="1">
        <v>21.97</v>
      </c>
      <c r="I893" s="1" t="s">
        <v>22</v>
      </c>
      <c r="J893" s="1" t="s">
        <v>20</v>
      </c>
      <c r="K893" s="26">
        <v>6</v>
      </c>
    </row>
    <row r="894" spans="1:11" x14ac:dyDescent="0.25">
      <c r="A894" s="25" t="s">
        <v>18</v>
      </c>
      <c r="B894" s="1" t="s">
        <v>27</v>
      </c>
      <c r="C894" s="2">
        <v>178876</v>
      </c>
      <c r="D894" s="2">
        <v>2589</v>
      </c>
      <c r="E894" s="1">
        <v>221</v>
      </c>
      <c r="F894" s="1">
        <v>2.1800000000000002</v>
      </c>
      <c r="G894" s="1">
        <v>1492</v>
      </c>
      <c r="H894" s="1">
        <v>6.99</v>
      </c>
      <c r="I894" s="1" t="s">
        <v>16</v>
      </c>
      <c r="J894" s="1" t="s">
        <v>14</v>
      </c>
      <c r="K894" s="26">
        <v>2</v>
      </c>
    </row>
    <row r="895" spans="1:11" x14ac:dyDescent="0.25">
      <c r="A895" s="25" t="s">
        <v>18</v>
      </c>
      <c r="B895" s="1" t="s">
        <v>27</v>
      </c>
      <c r="C895" s="2">
        <v>156451</v>
      </c>
      <c r="D895" s="2">
        <v>26235</v>
      </c>
      <c r="E895" s="1">
        <v>502</v>
      </c>
      <c r="F895" s="1">
        <v>1.84</v>
      </c>
      <c r="G895" s="1">
        <v>7358</v>
      </c>
      <c r="H895" s="1">
        <v>24.39</v>
      </c>
      <c r="I895" s="1" t="s">
        <v>23</v>
      </c>
      <c r="J895" s="1" t="s">
        <v>20</v>
      </c>
      <c r="K895" s="26">
        <v>7</v>
      </c>
    </row>
    <row r="896" spans="1:11" x14ac:dyDescent="0.25">
      <c r="A896" s="25" t="s">
        <v>15</v>
      </c>
      <c r="B896" s="1" t="s">
        <v>27</v>
      </c>
      <c r="C896" s="2">
        <v>37766</v>
      </c>
      <c r="D896" s="2">
        <v>1159</v>
      </c>
      <c r="E896" s="1">
        <v>689</v>
      </c>
      <c r="F896" s="1">
        <v>4.0599999999999996</v>
      </c>
      <c r="G896" s="1">
        <v>2621</v>
      </c>
      <c r="H896" s="1">
        <v>17.649999999999999</v>
      </c>
      <c r="I896" s="1" t="s">
        <v>23</v>
      </c>
      <c r="J896" s="1" t="s">
        <v>14</v>
      </c>
      <c r="K896" s="26">
        <v>3</v>
      </c>
    </row>
    <row r="897" spans="1:11" x14ac:dyDescent="0.25">
      <c r="A897" s="25" t="s">
        <v>15</v>
      </c>
      <c r="B897" s="1" t="s">
        <v>27</v>
      </c>
      <c r="C897" s="2">
        <v>78099</v>
      </c>
      <c r="D897" s="2">
        <v>13145</v>
      </c>
      <c r="E897" s="1">
        <v>48</v>
      </c>
      <c r="F897" s="1">
        <v>2.0099999999999998</v>
      </c>
      <c r="G897" s="1">
        <v>12888</v>
      </c>
      <c r="H897" s="1">
        <v>6.32</v>
      </c>
      <c r="I897" s="1" t="s">
        <v>23</v>
      </c>
      <c r="J897" s="1" t="s">
        <v>20</v>
      </c>
      <c r="K897" s="26">
        <v>1</v>
      </c>
    </row>
    <row r="898" spans="1:11" x14ac:dyDescent="0.25">
      <c r="A898" s="25" t="s">
        <v>24</v>
      </c>
      <c r="B898" s="1" t="s">
        <v>19</v>
      </c>
      <c r="C898" s="2">
        <v>177132</v>
      </c>
      <c r="D898" s="2">
        <v>16373</v>
      </c>
      <c r="E898" s="1">
        <v>378</v>
      </c>
      <c r="F898" s="1">
        <v>4.46</v>
      </c>
      <c r="G898" s="1">
        <v>19107</v>
      </c>
      <c r="H898" s="1">
        <v>7.1</v>
      </c>
      <c r="I898" s="1" t="s">
        <v>22</v>
      </c>
      <c r="J898" s="1" t="s">
        <v>20</v>
      </c>
      <c r="K898" s="26">
        <v>3</v>
      </c>
    </row>
    <row r="899" spans="1:11" x14ac:dyDescent="0.25">
      <c r="A899" s="25" t="s">
        <v>15</v>
      </c>
      <c r="B899" s="1" t="s">
        <v>21</v>
      </c>
      <c r="C899" s="2">
        <v>79122</v>
      </c>
      <c r="D899" s="2">
        <v>32921</v>
      </c>
      <c r="E899" s="1">
        <v>766</v>
      </c>
      <c r="F899" s="1">
        <v>1.41</v>
      </c>
      <c r="G899" s="1">
        <v>4636</v>
      </c>
      <c r="H899" s="1">
        <v>18.84</v>
      </c>
      <c r="I899" s="1" t="s">
        <v>26</v>
      </c>
      <c r="J899" s="1" t="s">
        <v>20</v>
      </c>
      <c r="K899" s="26">
        <v>9</v>
      </c>
    </row>
    <row r="900" spans="1:11" x14ac:dyDescent="0.25">
      <c r="A900" s="25" t="s">
        <v>11</v>
      </c>
      <c r="B900" s="1" t="s">
        <v>12</v>
      </c>
      <c r="C900" s="2">
        <v>157159</v>
      </c>
      <c r="D900" s="2">
        <v>40323</v>
      </c>
      <c r="E900" s="1">
        <v>160</v>
      </c>
      <c r="F900" s="1">
        <v>1.5</v>
      </c>
      <c r="G900" s="1">
        <v>17227</v>
      </c>
      <c r="H900" s="1">
        <v>24.9</v>
      </c>
      <c r="I900" s="1" t="s">
        <v>13</v>
      </c>
      <c r="J900" s="1" t="s">
        <v>20</v>
      </c>
      <c r="K900" s="26">
        <v>6</v>
      </c>
    </row>
    <row r="901" spans="1:11" x14ac:dyDescent="0.25">
      <c r="A901" s="25" t="s">
        <v>11</v>
      </c>
      <c r="B901" s="1" t="s">
        <v>25</v>
      </c>
      <c r="C901" s="2">
        <v>58868</v>
      </c>
      <c r="D901" s="2">
        <v>17237</v>
      </c>
      <c r="E901" s="1">
        <v>120</v>
      </c>
      <c r="F901" s="1">
        <v>4.92</v>
      </c>
      <c r="G901" s="1">
        <v>13153</v>
      </c>
      <c r="H901" s="1">
        <v>12.47</v>
      </c>
      <c r="I901" s="1" t="s">
        <v>22</v>
      </c>
      <c r="J901" s="1" t="s">
        <v>17</v>
      </c>
      <c r="K901" s="26">
        <v>6</v>
      </c>
    </row>
    <row r="902" spans="1:11" x14ac:dyDescent="0.25">
      <c r="A902" s="25" t="s">
        <v>18</v>
      </c>
      <c r="B902" s="1" t="s">
        <v>19</v>
      </c>
      <c r="C902" s="2">
        <v>129119</v>
      </c>
      <c r="D902" s="2">
        <v>42971</v>
      </c>
      <c r="E902" s="1">
        <v>489</v>
      </c>
      <c r="F902" s="1">
        <v>3.7</v>
      </c>
      <c r="G902" s="1">
        <v>15979</v>
      </c>
      <c r="H902" s="1">
        <v>7.75</v>
      </c>
      <c r="I902" s="1" t="s">
        <v>23</v>
      </c>
      <c r="J902" s="1" t="s">
        <v>20</v>
      </c>
      <c r="K902" s="26">
        <v>4</v>
      </c>
    </row>
    <row r="903" spans="1:11" x14ac:dyDescent="0.25">
      <c r="A903" s="25" t="s">
        <v>15</v>
      </c>
      <c r="B903" s="1" t="s">
        <v>12</v>
      </c>
      <c r="C903" s="2">
        <v>164297</v>
      </c>
      <c r="D903" s="2">
        <v>9244</v>
      </c>
      <c r="E903" s="1">
        <v>445</v>
      </c>
      <c r="F903" s="1">
        <v>4.3899999999999997</v>
      </c>
      <c r="G903" s="1">
        <v>5323</v>
      </c>
      <c r="H903" s="1">
        <v>26.01</v>
      </c>
      <c r="I903" s="1" t="s">
        <v>22</v>
      </c>
      <c r="J903" s="1" t="s">
        <v>17</v>
      </c>
      <c r="K903" s="26">
        <v>8</v>
      </c>
    </row>
    <row r="904" spans="1:11" x14ac:dyDescent="0.25">
      <c r="A904" s="25" t="s">
        <v>24</v>
      </c>
      <c r="B904" s="1" t="s">
        <v>19</v>
      </c>
      <c r="C904" s="2">
        <v>105286</v>
      </c>
      <c r="D904" s="2">
        <v>15743</v>
      </c>
      <c r="E904" s="1">
        <v>56</v>
      </c>
      <c r="F904" s="1">
        <v>2.2999999999999998</v>
      </c>
      <c r="G904" s="1">
        <v>5420</v>
      </c>
      <c r="H904" s="1">
        <v>20.079999999999998</v>
      </c>
      <c r="I904" s="1" t="s">
        <v>22</v>
      </c>
      <c r="J904" s="1" t="s">
        <v>14</v>
      </c>
      <c r="K904" s="26">
        <v>5</v>
      </c>
    </row>
    <row r="905" spans="1:11" x14ac:dyDescent="0.25">
      <c r="A905" s="25" t="s">
        <v>11</v>
      </c>
      <c r="B905" s="1" t="s">
        <v>19</v>
      </c>
      <c r="C905" s="2">
        <v>16643</v>
      </c>
      <c r="D905" s="2">
        <v>32566</v>
      </c>
      <c r="E905" s="1">
        <v>584</v>
      </c>
      <c r="F905" s="1">
        <v>3.71</v>
      </c>
      <c r="G905" s="1">
        <v>5971</v>
      </c>
      <c r="H905" s="1">
        <v>13.44</v>
      </c>
      <c r="I905" s="1" t="s">
        <v>22</v>
      </c>
      <c r="J905" s="1" t="s">
        <v>14</v>
      </c>
      <c r="K905" s="26">
        <v>7</v>
      </c>
    </row>
    <row r="906" spans="1:11" x14ac:dyDescent="0.25">
      <c r="A906" s="25" t="s">
        <v>11</v>
      </c>
      <c r="B906" s="1" t="s">
        <v>25</v>
      </c>
      <c r="C906" s="2">
        <v>46727</v>
      </c>
      <c r="D906" s="2">
        <v>47101</v>
      </c>
      <c r="E906" s="1">
        <v>746</v>
      </c>
      <c r="F906" s="1">
        <v>3.38</v>
      </c>
      <c r="G906" s="1">
        <v>17772</v>
      </c>
      <c r="H906" s="1">
        <v>14.64</v>
      </c>
      <c r="I906" s="1" t="s">
        <v>26</v>
      </c>
      <c r="J906" s="1" t="s">
        <v>17</v>
      </c>
      <c r="K906" s="26">
        <v>9</v>
      </c>
    </row>
    <row r="907" spans="1:11" x14ac:dyDescent="0.25">
      <c r="A907" s="25" t="s">
        <v>24</v>
      </c>
      <c r="B907" s="1" t="s">
        <v>21</v>
      </c>
      <c r="C907" s="2">
        <v>152077</v>
      </c>
      <c r="D907" s="2">
        <v>47109</v>
      </c>
      <c r="E907" s="1">
        <v>375</v>
      </c>
      <c r="F907" s="1">
        <v>3.41</v>
      </c>
      <c r="G907" s="1">
        <v>10033</v>
      </c>
      <c r="H907" s="1">
        <v>6.13</v>
      </c>
      <c r="I907" s="1" t="s">
        <v>16</v>
      </c>
      <c r="J907" s="1" t="s">
        <v>14</v>
      </c>
      <c r="K907" s="26">
        <v>5</v>
      </c>
    </row>
    <row r="908" spans="1:11" x14ac:dyDescent="0.25">
      <c r="A908" s="25" t="s">
        <v>24</v>
      </c>
      <c r="B908" s="1" t="s">
        <v>27</v>
      </c>
      <c r="C908" s="2">
        <v>119079</v>
      </c>
      <c r="D908" s="2">
        <v>19691</v>
      </c>
      <c r="E908" s="1">
        <v>78</v>
      </c>
      <c r="F908" s="1">
        <v>3.73</v>
      </c>
      <c r="G908" s="1">
        <v>7627</v>
      </c>
      <c r="H908" s="1">
        <v>18.8</v>
      </c>
      <c r="I908" s="1" t="s">
        <v>13</v>
      </c>
      <c r="J908" s="1" t="s">
        <v>14</v>
      </c>
      <c r="K908" s="26">
        <v>5</v>
      </c>
    </row>
    <row r="909" spans="1:11" x14ac:dyDescent="0.25">
      <c r="A909" s="25" t="s">
        <v>11</v>
      </c>
      <c r="B909" s="1" t="s">
        <v>21</v>
      </c>
      <c r="C909" s="2">
        <v>75697</v>
      </c>
      <c r="D909" s="2">
        <v>34996</v>
      </c>
      <c r="E909" s="1">
        <v>308</v>
      </c>
      <c r="F909" s="1">
        <v>3.3</v>
      </c>
      <c r="G909" s="1">
        <v>4220</v>
      </c>
      <c r="H909" s="1">
        <v>10.76</v>
      </c>
      <c r="I909" s="1" t="s">
        <v>26</v>
      </c>
      <c r="J909" s="1" t="s">
        <v>20</v>
      </c>
      <c r="K909" s="26">
        <v>4</v>
      </c>
    </row>
    <row r="910" spans="1:11" x14ac:dyDescent="0.25">
      <c r="A910" s="25" t="s">
        <v>11</v>
      </c>
      <c r="B910" s="1" t="s">
        <v>25</v>
      </c>
      <c r="C910" s="2">
        <v>26029</v>
      </c>
      <c r="D910" s="2">
        <v>6590</v>
      </c>
      <c r="E910" s="1">
        <v>953</v>
      </c>
      <c r="F910" s="1">
        <v>2.72</v>
      </c>
      <c r="G910" s="1">
        <v>19767</v>
      </c>
      <c r="H910" s="1">
        <v>29.87</v>
      </c>
      <c r="I910" s="1" t="s">
        <v>26</v>
      </c>
      <c r="J910" s="1" t="s">
        <v>20</v>
      </c>
      <c r="K910" s="26">
        <v>6</v>
      </c>
    </row>
    <row r="911" spans="1:11" x14ac:dyDescent="0.25">
      <c r="A911" s="25" t="s">
        <v>24</v>
      </c>
      <c r="B911" s="1" t="s">
        <v>25</v>
      </c>
      <c r="C911" s="2">
        <v>155298</v>
      </c>
      <c r="D911" s="2">
        <v>6585</v>
      </c>
      <c r="E911" s="1">
        <v>811</v>
      </c>
      <c r="F911" s="1">
        <v>2.1</v>
      </c>
      <c r="G911" s="1">
        <v>16196</v>
      </c>
      <c r="H911" s="1">
        <v>14.41</v>
      </c>
      <c r="I911" s="1" t="s">
        <v>16</v>
      </c>
      <c r="J911" s="1" t="s">
        <v>20</v>
      </c>
      <c r="K911" s="26">
        <v>2</v>
      </c>
    </row>
    <row r="912" spans="1:11" x14ac:dyDescent="0.25">
      <c r="A912" s="25" t="s">
        <v>11</v>
      </c>
      <c r="B912" s="1" t="s">
        <v>25</v>
      </c>
      <c r="C912" s="2">
        <v>169803</v>
      </c>
      <c r="D912" s="2">
        <v>10227</v>
      </c>
      <c r="E912" s="1">
        <v>305</v>
      </c>
      <c r="F912" s="1">
        <v>4.07</v>
      </c>
      <c r="G912" s="1">
        <v>19299</v>
      </c>
      <c r="H912" s="1">
        <v>14.58</v>
      </c>
      <c r="I912" s="1" t="s">
        <v>26</v>
      </c>
      <c r="J912" s="1" t="s">
        <v>17</v>
      </c>
      <c r="K912" s="26">
        <v>3</v>
      </c>
    </row>
    <row r="913" spans="1:11" x14ac:dyDescent="0.25">
      <c r="A913" s="25" t="s">
        <v>18</v>
      </c>
      <c r="B913" s="1" t="s">
        <v>12</v>
      </c>
      <c r="C913" s="2">
        <v>119458</v>
      </c>
      <c r="D913" s="2">
        <v>29278</v>
      </c>
      <c r="E913" s="1">
        <v>212</v>
      </c>
      <c r="F913" s="1">
        <v>1.91</v>
      </c>
      <c r="G913" s="1">
        <v>19885</v>
      </c>
      <c r="H913" s="1">
        <v>16.98</v>
      </c>
      <c r="I913" s="1" t="s">
        <v>22</v>
      </c>
      <c r="J913" s="1" t="s">
        <v>17</v>
      </c>
      <c r="K913" s="26">
        <v>1</v>
      </c>
    </row>
    <row r="914" spans="1:11" x14ac:dyDescent="0.25">
      <c r="A914" s="25" t="s">
        <v>18</v>
      </c>
      <c r="B914" s="1" t="s">
        <v>21</v>
      </c>
      <c r="C914" s="2">
        <v>120384</v>
      </c>
      <c r="D914" s="2">
        <v>39814</v>
      </c>
      <c r="E914" s="1">
        <v>70</v>
      </c>
      <c r="F914" s="1">
        <v>3.77</v>
      </c>
      <c r="G914" s="1">
        <v>18622</v>
      </c>
      <c r="H914" s="1">
        <v>27.5</v>
      </c>
      <c r="I914" s="1" t="s">
        <v>22</v>
      </c>
      <c r="J914" s="1" t="s">
        <v>14</v>
      </c>
      <c r="K914" s="26">
        <v>2</v>
      </c>
    </row>
    <row r="915" spans="1:11" x14ac:dyDescent="0.25">
      <c r="A915" s="25" t="s">
        <v>24</v>
      </c>
      <c r="B915" s="1" t="s">
        <v>21</v>
      </c>
      <c r="C915" s="2">
        <v>78926</v>
      </c>
      <c r="D915" s="2">
        <v>13237</v>
      </c>
      <c r="E915" s="1">
        <v>955</v>
      </c>
      <c r="F915" s="1">
        <v>1.93</v>
      </c>
      <c r="G915" s="1">
        <v>1864</v>
      </c>
      <c r="H915" s="1">
        <v>24.02</v>
      </c>
      <c r="I915" s="1" t="s">
        <v>23</v>
      </c>
      <c r="J915" s="1" t="s">
        <v>20</v>
      </c>
      <c r="K915" s="26">
        <v>2</v>
      </c>
    </row>
    <row r="916" spans="1:11" x14ac:dyDescent="0.25">
      <c r="A916" s="25" t="s">
        <v>15</v>
      </c>
      <c r="B916" s="1" t="s">
        <v>19</v>
      </c>
      <c r="C916" s="2">
        <v>147069</v>
      </c>
      <c r="D916" s="2">
        <v>16649</v>
      </c>
      <c r="E916" s="1">
        <v>972</v>
      </c>
      <c r="F916" s="1">
        <v>3.5</v>
      </c>
      <c r="G916" s="1">
        <v>3208</v>
      </c>
      <c r="H916" s="1">
        <v>13.53</v>
      </c>
      <c r="I916" s="1" t="s">
        <v>26</v>
      </c>
      <c r="J916" s="1" t="s">
        <v>17</v>
      </c>
      <c r="K916" s="26">
        <v>8</v>
      </c>
    </row>
    <row r="917" spans="1:11" x14ac:dyDescent="0.25">
      <c r="A917" s="25" t="s">
        <v>24</v>
      </c>
      <c r="B917" s="1" t="s">
        <v>19</v>
      </c>
      <c r="C917" s="2">
        <v>65506</v>
      </c>
      <c r="D917" s="2">
        <v>38713</v>
      </c>
      <c r="E917" s="1">
        <v>839</v>
      </c>
      <c r="F917" s="1">
        <v>3.99</v>
      </c>
      <c r="G917" s="1">
        <v>13482</v>
      </c>
      <c r="H917" s="1">
        <v>21.56</v>
      </c>
      <c r="I917" s="1" t="s">
        <v>23</v>
      </c>
      <c r="J917" s="1" t="s">
        <v>17</v>
      </c>
      <c r="K917" s="26">
        <v>8</v>
      </c>
    </row>
    <row r="918" spans="1:11" x14ac:dyDescent="0.25">
      <c r="A918" s="25" t="s">
        <v>24</v>
      </c>
      <c r="B918" s="1" t="s">
        <v>19</v>
      </c>
      <c r="C918" s="2">
        <v>88229</v>
      </c>
      <c r="D918" s="2">
        <v>8927</v>
      </c>
      <c r="E918" s="1">
        <v>323</v>
      </c>
      <c r="F918" s="1">
        <v>1.87</v>
      </c>
      <c r="G918" s="1">
        <v>17808</v>
      </c>
      <c r="H918" s="1">
        <v>17.59</v>
      </c>
      <c r="I918" s="1" t="s">
        <v>13</v>
      </c>
      <c r="J918" s="1" t="s">
        <v>20</v>
      </c>
      <c r="K918" s="26">
        <v>2</v>
      </c>
    </row>
    <row r="919" spans="1:11" x14ac:dyDescent="0.25">
      <c r="A919" s="25" t="s">
        <v>15</v>
      </c>
      <c r="B919" s="1" t="s">
        <v>25</v>
      </c>
      <c r="C919" s="2">
        <v>190887</v>
      </c>
      <c r="D919" s="2">
        <v>46409</v>
      </c>
      <c r="E919" s="1">
        <v>170</v>
      </c>
      <c r="F919" s="1">
        <v>1.24</v>
      </c>
      <c r="G919" s="1">
        <v>651</v>
      </c>
      <c r="H919" s="1">
        <v>14.77</v>
      </c>
      <c r="I919" s="1" t="s">
        <v>22</v>
      </c>
      <c r="J919" s="1" t="s">
        <v>17</v>
      </c>
      <c r="K919" s="26">
        <v>6</v>
      </c>
    </row>
    <row r="920" spans="1:11" x14ac:dyDescent="0.25">
      <c r="A920" s="25" t="s">
        <v>15</v>
      </c>
      <c r="B920" s="1" t="s">
        <v>21</v>
      </c>
      <c r="C920" s="2">
        <v>52092</v>
      </c>
      <c r="D920" s="2">
        <v>49766</v>
      </c>
      <c r="E920" s="1">
        <v>340</v>
      </c>
      <c r="F920" s="1">
        <v>1.52</v>
      </c>
      <c r="G920" s="1">
        <v>17796</v>
      </c>
      <c r="H920" s="1">
        <v>5.77</v>
      </c>
      <c r="I920" s="1" t="s">
        <v>13</v>
      </c>
      <c r="J920" s="1" t="s">
        <v>20</v>
      </c>
      <c r="K920" s="26">
        <v>5</v>
      </c>
    </row>
    <row r="921" spans="1:11" x14ac:dyDescent="0.25">
      <c r="A921" s="25" t="s">
        <v>15</v>
      </c>
      <c r="B921" s="1" t="s">
        <v>25</v>
      </c>
      <c r="C921" s="2">
        <v>72539</v>
      </c>
      <c r="D921" s="2">
        <v>47154</v>
      </c>
      <c r="E921" s="1">
        <v>537</v>
      </c>
      <c r="F921" s="1">
        <v>3.42</v>
      </c>
      <c r="G921" s="1">
        <v>2821</v>
      </c>
      <c r="H921" s="1">
        <v>13.92</v>
      </c>
      <c r="I921" s="1" t="s">
        <v>16</v>
      </c>
      <c r="J921" s="1" t="s">
        <v>14</v>
      </c>
      <c r="K921" s="26">
        <v>3</v>
      </c>
    </row>
    <row r="922" spans="1:11" x14ac:dyDescent="0.25">
      <c r="A922" s="25" t="s">
        <v>18</v>
      </c>
      <c r="B922" s="1" t="s">
        <v>12</v>
      </c>
      <c r="C922" s="2">
        <v>162889</v>
      </c>
      <c r="D922" s="2">
        <v>8016</v>
      </c>
      <c r="E922" s="1">
        <v>347</v>
      </c>
      <c r="F922" s="1">
        <v>4.4000000000000004</v>
      </c>
      <c r="G922" s="1">
        <v>14365</v>
      </c>
      <c r="H922" s="1">
        <v>7.37</v>
      </c>
      <c r="I922" s="1" t="s">
        <v>22</v>
      </c>
      <c r="J922" s="1" t="s">
        <v>14</v>
      </c>
      <c r="K922" s="26">
        <v>5</v>
      </c>
    </row>
    <row r="923" spans="1:11" x14ac:dyDescent="0.25">
      <c r="A923" s="25" t="s">
        <v>11</v>
      </c>
      <c r="B923" s="1" t="s">
        <v>19</v>
      </c>
      <c r="C923" s="2">
        <v>178933</v>
      </c>
      <c r="D923" s="2">
        <v>15027</v>
      </c>
      <c r="E923" s="1">
        <v>615</v>
      </c>
      <c r="F923" s="1">
        <v>1.18</v>
      </c>
      <c r="G923" s="1">
        <v>995</v>
      </c>
      <c r="H923" s="1">
        <v>27.45</v>
      </c>
      <c r="I923" s="1" t="s">
        <v>13</v>
      </c>
      <c r="J923" s="1" t="s">
        <v>14</v>
      </c>
      <c r="K923" s="26">
        <v>5</v>
      </c>
    </row>
    <row r="924" spans="1:11" x14ac:dyDescent="0.25">
      <c r="A924" s="25" t="s">
        <v>18</v>
      </c>
      <c r="B924" s="1" t="s">
        <v>25</v>
      </c>
      <c r="C924" s="2">
        <v>23428</v>
      </c>
      <c r="D924" s="2">
        <v>49688</v>
      </c>
      <c r="E924" s="1">
        <v>313</v>
      </c>
      <c r="F924" s="1">
        <v>3.94</v>
      </c>
      <c r="G924" s="1">
        <v>12487</v>
      </c>
      <c r="H924" s="1">
        <v>10.06</v>
      </c>
      <c r="I924" s="1" t="s">
        <v>16</v>
      </c>
      <c r="J924" s="1" t="s">
        <v>20</v>
      </c>
      <c r="K924" s="26">
        <v>5</v>
      </c>
    </row>
    <row r="925" spans="1:11" x14ac:dyDescent="0.25">
      <c r="A925" s="25" t="s">
        <v>11</v>
      </c>
      <c r="B925" s="1" t="s">
        <v>25</v>
      </c>
      <c r="C925" s="2">
        <v>185006</v>
      </c>
      <c r="D925" s="2">
        <v>25142</v>
      </c>
      <c r="E925" s="1">
        <v>512</v>
      </c>
      <c r="F925" s="1">
        <v>2.37</v>
      </c>
      <c r="G925" s="1">
        <v>2648</v>
      </c>
      <c r="H925" s="1">
        <v>28.57</v>
      </c>
      <c r="I925" s="1" t="s">
        <v>13</v>
      </c>
      <c r="J925" s="1" t="s">
        <v>17</v>
      </c>
      <c r="K925" s="26">
        <v>3</v>
      </c>
    </row>
    <row r="926" spans="1:11" x14ac:dyDescent="0.25">
      <c r="A926" s="25" t="s">
        <v>18</v>
      </c>
      <c r="B926" s="1" t="s">
        <v>12</v>
      </c>
      <c r="C926" s="2">
        <v>151330</v>
      </c>
      <c r="D926" s="2">
        <v>47520</v>
      </c>
      <c r="E926" s="1">
        <v>659</v>
      </c>
      <c r="F926" s="1">
        <v>2.91</v>
      </c>
      <c r="G926" s="1">
        <v>1056</v>
      </c>
      <c r="H926" s="1">
        <v>15.99</v>
      </c>
      <c r="I926" s="1" t="s">
        <v>16</v>
      </c>
      <c r="J926" s="1" t="s">
        <v>14</v>
      </c>
      <c r="K926" s="26">
        <v>3</v>
      </c>
    </row>
    <row r="927" spans="1:11" x14ac:dyDescent="0.25">
      <c r="A927" s="25" t="s">
        <v>11</v>
      </c>
      <c r="B927" s="1" t="s">
        <v>27</v>
      </c>
      <c r="C927" s="2">
        <v>67775</v>
      </c>
      <c r="D927" s="2">
        <v>24545</v>
      </c>
      <c r="E927" s="1">
        <v>347</v>
      </c>
      <c r="F927" s="1">
        <v>4.72</v>
      </c>
      <c r="G927" s="1">
        <v>13893</v>
      </c>
      <c r="H927" s="1">
        <v>18.95</v>
      </c>
      <c r="I927" s="1" t="s">
        <v>16</v>
      </c>
      <c r="J927" s="1" t="s">
        <v>14</v>
      </c>
      <c r="K927" s="26">
        <v>4</v>
      </c>
    </row>
    <row r="928" spans="1:11" x14ac:dyDescent="0.25">
      <c r="A928" s="25" t="s">
        <v>18</v>
      </c>
      <c r="B928" s="1" t="s">
        <v>21</v>
      </c>
      <c r="C928" s="2">
        <v>15469</v>
      </c>
      <c r="D928" s="2">
        <v>32897</v>
      </c>
      <c r="E928" s="1">
        <v>559</v>
      </c>
      <c r="F928" s="1">
        <v>2.33</v>
      </c>
      <c r="G928" s="1">
        <v>2052</v>
      </c>
      <c r="H928" s="1">
        <v>16.29</v>
      </c>
      <c r="I928" s="1" t="s">
        <v>22</v>
      </c>
      <c r="J928" s="1" t="s">
        <v>14</v>
      </c>
      <c r="K928" s="26">
        <v>7</v>
      </c>
    </row>
    <row r="929" spans="1:11" x14ac:dyDescent="0.25">
      <c r="A929" s="25" t="s">
        <v>15</v>
      </c>
      <c r="B929" s="1" t="s">
        <v>27</v>
      </c>
      <c r="C929" s="2">
        <v>38854</v>
      </c>
      <c r="D929" s="2">
        <v>4167</v>
      </c>
      <c r="E929" s="1">
        <v>648</v>
      </c>
      <c r="F929" s="1">
        <v>2.86</v>
      </c>
      <c r="G929" s="1">
        <v>19004</v>
      </c>
      <c r="H929" s="1">
        <v>3.88</v>
      </c>
      <c r="I929" s="1" t="s">
        <v>23</v>
      </c>
      <c r="J929" s="1" t="s">
        <v>17</v>
      </c>
      <c r="K929" s="26">
        <v>2</v>
      </c>
    </row>
    <row r="930" spans="1:11" x14ac:dyDescent="0.25">
      <c r="A930" s="25" t="s">
        <v>24</v>
      </c>
      <c r="B930" s="1" t="s">
        <v>19</v>
      </c>
      <c r="C930" s="2">
        <v>147328</v>
      </c>
      <c r="D930" s="2">
        <v>45757</v>
      </c>
      <c r="E930" s="1">
        <v>284</v>
      </c>
      <c r="F930" s="1">
        <v>1.05</v>
      </c>
      <c r="G930" s="1">
        <v>3585</v>
      </c>
      <c r="H930" s="1">
        <v>11.27</v>
      </c>
      <c r="I930" s="1" t="s">
        <v>16</v>
      </c>
      <c r="J930" s="1" t="s">
        <v>17</v>
      </c>
      <c r="K930" s="26">
        <v>4</v>
      </c>
    </row>
    <row r="931" spans="1:11" x14ac:dyDescent="0.25">
      <c r="A931" s="25" t="s">
        <v>18</v>
      </c>
      <c r="B931" s="1" t="s">
        <v>25</v>
      </c>
      <c r="C931" s="2">
        <v>86256</v>
      </c>
      <c r="D931" s="2">
        <v>27917</v>
      </c>
      <c r="E931" s="1">
        <v>173</v>
      </c>
      <c r="F931" s="1">
        <v>1.33</v>
      </c>
      <c r="G931" s="1">
        <v>656</v>
      </c>
      <c r="H931" s="1">
        <v>2.97</v>
      </c>
      <c r="I931" s="1" t="s">
        <v>16</v>
      </c>
      <c r="J931" s="1" t="s">
        <v>20</v>
      </c>
      <c r="K931" s="26">
        <v>4</v>
      </c>
    </row>
    <row r="932" spans="1:11" x14ac:dyDescent="0.25">
      <c r="A932" s="25" t="s">
        <v>11</v>
      </c>
      <c r="B932" s="1" t="s">
        <v>12</v>
      </c>
      <c r="C932" s="2">
        <v>175009</v>
      </c>
      <c r="D932" s="2">
        <v>23736</v>
      </c>
      <c r="E932" s="1">
        <v>452</v>
      </c>
      <c r="F932" s="1">
        <v>2.0299999999999998</v>
      </c>
      <c r="G932" s="1">
        <v>9426</v>
      </c>
      <c r="H932" s="1">
        <v>18.690000000000001</v>
      </c>
      <c r="I932" s="1" t="s">
        <v>22</v>
      </c>
      <c r="J932" s="1" t="s">
        <v>14</v>
      </c>
      <c r="K932" s="26">
        <v>1</v>
      </c>
    </row>
    <row r="933" spans="1:11" x14ac:dyDescent="0.25">
      <c r="A933" s="25" t="s">
        <v>15</v>
      </c>
      <c r="B933" s="1" t="s">
        <v>12</v>
      </c>
      <c r="C933" s="2">
        <v>109134</v>
      </c>
      <c r="D933" s="2">
        <v>28990</v>
      </c>
      <c r="E933" s="1">
        <v>328</v>
      </c>
      <c r="F933" s="1">
        <v>1.1100000000000001</v>
      </c>
      <c r="G933" s="1">
        <v>7662</v>
      </c>
      <c r="H933" s="1">
        <v>13.41</v>
      </c>
      <c r="I933" s="1" t="s">
        <v>23</v>
      </c>
      <c r="J933" s="1" t="s">
        <v>17</v>
      </c>
      <c r="K933" s="26">
        <v>8</v>
      </c>
    </row>
    <row r="934" spans="1:11" x14ac:dyDescent="0.25">
      <c r="A934" s="25" t="s">
        <v>18</v>
      </c>
      <c r="B934" s="1" t="s">
        <v>21</v>
      </c>
      <c r="C934" s="2">
        <v>142723</v>
      </c>
      <c r="D934" s="2">
        <v>15087</v>
      </c>
      <c r="E934" s="1">
        <v>598</v>
      </c>
      <c r="F934" s="1">
        <v>3.53</v>
      </c>
      <c r="G934" s="1">
        <v>8555</v>
      </c>
      <c r="H934" s="1">
        <v>23.34</v>
      </c>
      <c r="I934" s="1" t="s">
        <v>26</v>
      </c>
      <c r="J934" s="1" t="s">
        <v>20</v>
      </c>
      <c r="K934" s="26">
        <v>1</v>
      </c>
    </row>
    <row r="935" spans="1:11" x14ac:dyDescent="0.25">
      <c r="A935" s="25" t="s">
        <v>18</v>
      </c>
      <c r="B935" s="1" t="s">
        <v>27</v>
      </c>
      <c r="C935" s="2">
        <v>191360</v>
      </c>
      <c r="D935" s="2">
        <v>23440</v>
      </c>
      <c r="E935" s="1">
        <v>513</v>
      </c>
      <c r="F935" s="1">
        <v>2.71</v>
      </c>
      <c r="G935" s="1">
        <v>5154</v>
      </c>
      <c r="H935" s="1">
        <v>6.61</v>
      </c>
      <c r="I935" s="1" t="s">
        <v>26</v>
      </c>
      <c r="J935" s="1" t="s">
        <v>14</v>
      </c>
      <c r="K935" s="26">
        <v>8</v>
      </c>
    </row>
    <row r="936" spans="1:11" x14ac:dyDescent="0.25">
      <c r="A936" s="25" t="s">
        <v>15</v>
      </c>
      <c r="B936" s="1" t="s">
        <v>21</v>
      </c>
      <c r="C936" s="2">
        <v>94730</v>
      </c>
      <c r="D936" s="2">
        <v>36205</v>
      </c>
      <c r="E936" s="1">
        <v>695</v>
      </c>
      <c r="F936" s="1">
        <v>3.19</v>
      </c>
      <c r="G936" s="1">
        <v>11968</v>
      </c>
      <c r="H936" s="1">
        <v>4.9400000000000004</v>
      </c>
      <c r="I936" s="1" t="s">
        <v>23</v>
      </c>
      <c r="J936" s="1" t="s">
        <v>17</v>
      </c>
      <c r="K936" s="26">
        <v>7</v>
      </c>
    </row>
    <row r="937" spans="1:11" x14ac:dyDescent="0.25">
      <c r="A937" s="25" t="s">
        <v>18</v>
      </c>
      <c r="B937" s="1" t="s">
        <v>25</v>
      </c>
      <c r="C937" s="2">
        <v>166123</v>
      </c>
      <c r="D937" s="2">
        <v>16275</v>
      </c>
      <c r="E937" s="1">
        <v>396</v>
      </c>
      <c r="F937" s="1">
        <v>1.7</v>
      </c>
      <c r="G937" s="1">
        <v>654</v>
      </c>
      <c r="H937" s="1">
        <v>12.19</v>
      </c>
      <c r="I937" s="1" t="s">
        <v>13</v>
      </c>
      <c r="J937" s="1" t="s">
        <v>17</v>
      </c>
      <c r="K937" s="26">
        <v>9</v>
      </c>
    </row>
    <row r="938" spans="1:11" x14ac:dyDescent="0.25">
      <c r="A938" s="25" t="s">
        <v>24</v>
      </c>
      <c r="B938" s="1" t="s">
        <v>21</v>
      </c>
      <c r="C938" s="2">
        <v>37386</v>
      </c>
      <c r="D938" s="2">
        <v>6276</v>
      </c>
      <c r="E938" s="1">
        <v>979</v>
      </c>
      <c r="F938" s="1">
        <v>2.1800000000000002</v>
      </c>
      <c r="G938" s="1">
        <v>8450</v>
      </c>
      <c r="H938" s="1">
        <v>27.8</v>
      </c>
      <c r="I938" s="1" t="s">
        <v>22</v>
      </c>
      <c r="J938" s="1" t="s">
        <v>20</v>
      </c>
      <c r="K938" s="26">
        <v>8</v>
      </c>
    </row>
    <row r="939" spans="1:11" x14ac:dyDescent="0.25">
      <c r="A939" s="25" t="s">
        <v>18</v>
      </c>
      <c r="B939" s="1" t="s">
        <v>12</v>
      </c>
      <c r="C939" s="2">
        <v>157256</v>
      </c>
      <c r="D939" s="2">
        <v>42627</v>
      </c>
      <c r="E939" s="1">
        <v>879</v>
      </c>
      <c r="F939" s="1">
        <v>3.66</v>
      </c>
      <c r="G939" s="1">
        <v>15823</v>
      </c>
      <c r="H939" s="1">
        <v>21.31</v>
      </c>
      <c r="I939" s="1" t="s">
        <v>23</v>
      </c>
      <c r="J939" s="1" t="s">
        <v>14</v>
      </c>
      <c r="K939" s="26">
        <v>5</v>
      </c>
    </row>
    <row r="940" spans="1:11" x14ac:dyDescent="0.25">
      <c r="A940" s="25" t="s">
        <v>24</v>
      </c>
      <c r="B940" s="1" t="s">
        <v>12</v>
      </c>
      <c r="C940" s="2">
        <v>43787</v>
      </c>
      <c r="D940" s="2">
        <v>41586</v>
      </c>
      <c r="E940" s="1">
        <v>842</v>
      </c>
      <c r="F940" s="1">
        <v>4.8600000000000003</v>
      </c>
      <c r="G940" s="1">
        <v>17880</v>
      </c>
      <c r="H940" s="1">
        <v>12.57</v>
      </c>
      <c r="I940" s="1" t="s">
        <v>26</v>
      </c>
      <c r="J940" s="1" t="s">
        <v>14</v>
      </c>
      <c r="K940" s="26">
        <v>8</v>
      </c>
    </row>
    <row r="941" spans="1:11" x14ac:dyDescent="0.25">
      <c r="A941" s="25" t="s">
        <v>24</v>
      </c>
      <c r="B941" s="1" t="s">
        <v>19</v>
      </c>
      <c r="C941" s="2">
        <v>31621</v>
      </c>
      <c r="D941" s="2">
        <v>38496</v>
      </c>
      <c r="E941" s="1">
        <v>897</v>
      </c>
      <c r="F941" s="1">
        <v>1.2</v>
      </c>
      <c r="G941" s="1">
        <v>5126</v>
      </c>
      <c r="H941" s="1">
        <v>15.52</v>
      </c>
      <c r="I941" s="1" t="s">
        <v>16</v>
      </c>
      <c r="J941" s="1" t="s">
        <v>17</v>
      </c>
      <c r="K941" s="26">
        <v>3</v>
      </c>
    </row>
    <row r="942" spans="1:11" x14ac:dyDescent="0.25">
      <c r="A942" s="25" t="s">
        <v>15</v>
      </c>
      <c r="B942" s="1" t="s">
        <v>19</v>
      </c>
      <c r="C942" s="2">
        <v>87984</v>
      </c>
      <c r="D942" s="2">
        <v>20008</v>
      </c>
      <c r="E942" s="1">
        <v>612</v>
      </c>
      <c r="F942" s="1">
        <v>4.5599999999999996</v>
      </c>
      <c r="G942" s="1">
        <v>19789</v>
      </c>
      <c r="H942" s="1">
        <v>2.5299999999999998</v>
      </c>
      <c r="I942" s="1" t="s">
        <v>26</v>
      </c>
      <c r="J942" s="1" t="s">
        <v>14</v>
      </c>
      <c r="K942" s="26">
        <v>7</v>
      </c>
    </row>
    <row r="943" spans="1:11" x14ac:dyDescent="0.25">
      <c r="A943" s="25" t="s">
        <v>18</v>
      </c>
      <c r="B943" s="1" t="s">
        <v>25</v>
      </c>
      <c r="C943" s="2">
        <v>186325</v>
      </c>
      <c r="D943" s="2">
        <v>6738</v>
      </c>
      <c r="E943" s="1">
        <v>759</v>
      </c>
      <c r="F943" s="1">
        <v>3.31</v>
      </c>
      <c r="G943" s="1">
        <v>14759</v>
      </c>
      <c r="H943" s="1">
        <v>29.54</v>
      </c>
      <c r="I943" s="1" t="s">
        <v>16</v>
      </c>
      <c r="J943" s="1" t="s">
        <v>20</v>
      </c>
      <c r="K943" s="26">
        <v>4</v>
      </c>
    </row>
    <row r="944" spans="1:11" x14ac:dyDescent="0.25">
      <c r="A944" s="25" t="s">
        <v>15</v>
      </c>
      <c r="B944" s="1" t="s">
        <v>27</v>
      </c>
      <c r="C944" s="2">
        <v>44051</v>
      </c>
      <c r="D944" s="2">
        <v>33402</v>
      </c>
      <c r="E944" s="1">
        <v>785</v>
      </c>
      <c r="F944" s="1">
        <v>3.26</v>
      </c>
      <c r="G944" s="1">
        <v>15373</v>
      </c>
      <c r="H944" s="1">
        <v>19.989999999999998</v>
      </c>
      <c r="I944" s="1" t="s">
        <v>22</v>
      </c>
      <c r="J944" s="1" t="s">
        <v>17</v>
      </c>
      <c r="K944" s="26">
        <v>5</v>
      </c>
    </row>
    <row r="945" spans="1:11" x14ac:dyDescent="0.25">
      <c r="A945" s="25" t="s">
        <v>18</v>
      </c>
      <c r="B945" s="1" t="s">
        <v>21</v>
      </c>
      <c r="C945" s="2">
        <v>59811</v>
      </c>
      <c r="D945" s="2">
        <v>6793</v>
      </c>
      <c r="E945" s="1">
        <v>700</v>
      </c>
      <c r="F945" s="1">
        <v>3</v>
      </c>
      <c r="G945" s="1">
        <v>13516</v>
      </c>
      <c r="H945" s="1">
        <v>8.56</v>
      </c>
      <c r="I945" s="1" t="s">
        <v>16</v>
      </c>
      <c r="J945" s="1" t="s">
        <v>17</v>
      </c>
      <c r="K945" s="26">
        <v>9</v>
      </c>
    </row>
    <row r="946" spans="1:11" x14ac:dyDescent="0.25">
      <c r="A946" s="25" t="s">
        <v>18</v>
      </c>
      <c r="B946" s="1" t="s">
        <v>25</v>
      </c>
      <c r="C946" s="2">
        <v>40447</v>
      </c>
      <c r="D946" s="2">
        <v>38291</v>
      </c>
      <c r="E946" s="1">
        <v>503</v>
      </c>
      <c r="F946" s="1">
        <v>1.28</v>
      </c>
      <c r="G946" s="1">
        <v>9869</v>
      </c>
      <c r="H946" s="1">
        <v>17.57</v>
      </c>
      <c r="I946" s="1" t="s">
        <v>23</v>
      </c>
      <c r="J946" s="1" t="s">
        <v>20</v>
      </c>
      <c r="K946" s="26">
        <v>7</v>
      </c>
    </row>
    <row r="947" spans="1:11" x14ac:dyDescent="0.25">
      <c r="A947" s="25" t="s">
        <v>11</v>
      </c>
      <c r="B947" s="1" t="s">
        <v>19</v>
      </c>
      <c r="C947" s="2">
        <v>138046</v>
      </c>
      <c r="D947" s="2">
        <v>6571</v>
      </c>
      <c r="E947" s="1">
        <v>499</v>
      </c>
      <c r="F947" s="1">
        <v>1.36</v>
      </c>
      <c r="G947" s="1">
        <v>653</v>
      </c>
      <c r="H947" s="1">
        <v>3.28</v>
      </c>
      <c r="I947" s="1" t="s">
        <v>16</v>
      </c>
      <c r="J947" s="1" t="s">
        <v>17</v>
      </c>
      <c r="K947" s="26">
        <v>4</v>
      </c>
    </row>
    <row r="948" spans="1:11" x14ac:dyDescent="0.25">
      <c r="A948" s="25" t="s">
        <v>18</v>
      </c>
      <c r="B948" s="1" t="s">
        <v>21</v>
      </c>
      <c r="C948" s="2">
        <v>171326</v>
      </c>
      <c r="D948" s="2">
        <v>32331</v>
      </c>
      <c r="E948" s="1">
        <v>730</v>
      </c>
      <c r="F948" s="1">
        <v>3.4</v>
      </c>
      <c r="G948" s="1">
        <v>8353</v>
      </c>
      <c r="H948" s="1">
        <v>28.98</v>
      </c>
      <c r="I948" s="1" t="s">
        <v>13</v>
      </c>
      <c r="J948" s="1" t="s">
        <v>14</v>
      </c>
      <c r="K948" s="26">
        <v>6</v>
      </c>
    </row>
    <row r="949" spans="1:11" x14ac:dyDescent="0.25">
      <c r="A949" s="25" t="s">
        <v>15</v>
      </c>
      <c r="B949" s="1" t="s">
        <v>19</v>
      </c>
      <c r="C949" s="2">
        <v>94045</v>
      </c>
      <c r="D949" s="2">
        <v>17209</v>
      </c>
      <c r="E949" s="1">
        <v>82</v>
      </c>
      <c r="F949" s="1">
        <v>2.36</v>
      </c>
      <c r="G949" s="1">
        <v>12879</v>
      </c>
      <c r="H949" s="1">
        <v>5.24</v>
      </c>
      <c r="I949" s="1" t="s">
        <v>23</v>
      </c>
      <c r="J949" s="1" t="s">
        <v>14</v>
      </c>
      <c r="K949" s="26">
        <v>7</v>
      </c>
    </row>
    <row r="950" spans="1:11" x14ac:dyDescent="0.25">
      <c r="A950" s="25" t="s">
        <v>24</v>
      </c>
      <c r="B950" s="1" t="s">
        <v>21</v>
      </c>
      <c r="C950" s="2">
        <v>126859</v>
      </c>
      <c r="D950" s="2">
        <v>49014</v>
      </c>
      <c r="E950" s="1">
        <v>518</v>
      </c>
      <c r="F950" s="1">
        <v>4.67</v>
      </c>
      <c r="G950" s="1">
        <v>16292</v>
      </c>
      <c r="H950" s="1">
        <v>19.440000000000001</v>
      </c>
      <c r="I950" s="1" t="s">
        <v>22</v>
      </c>
      <c r="J950" s="1" t="s">
        <v>17</v>
      </c>
      <c r="K950" s="26">
        <v>9</v>
      </c>
    </row>
    <row r="951" spans="1:11" x14ac:dyDescent="0.25">
      <c r="A951" s="25" t="s">
        <v>18</v>
      </c>
      <c r="B951" s="1" t="s">
        <v>27</v>
      </c>
      <c r="C951" s="2">
        <v>198490</v>
      </c>
      <c r="D951" s="2">
        <v>26394</v>
      </c>
      <c r="E951" s="1">
        <v>399</v>
      </c>
      <c r="F951" s="1">
        <v>2.63</v>
      </c>
      <c r="G951" s="1">
        <v>6099</v>
      </c>
      <c r="H951" s="1">
        <v>7.36</v>
      </c>
      <c r="I951" s="1" t="s">
        <v>23</v>
      </c>
      <c r="J951" s="1" t="s">
        <v>20</v>
      </c>
      <c r="K951" s="26">
        <v>4</v>
      </c>
    </row>
    <row r="952" spans="1:11" x14ac:dyDescent="0.25">
      <c r="A952" s="25" t="s">
        <v>11</v>
      </c>
      <c r="B952" s="1" t="s">
        <v>25</v>
      </c>
      <c r="C952" s="2">
        <v>155544</v>
      </c>
      <c r="D952" s="2">
        <v>44148</v>
      </c>
      <c r="E952" s="1">
        <v>628</v>
      </c>
      <c r="F952" s="1">
        <v>1.57</v>
      </c>
      <c r="G952" s="1">
        <v>18600</v>
      </c>
      <c r="H952" s="1">
        <v>21.53</v>
      </c>
      <c r="I952" s="1" t="s">
        <v>13</v>
      </c>
      <c r="J952" s="1" t="s">
        <v>20</v>
      </c>
      <c r="K952" s="26">
        <v>3</v>
      </c>
    </row>
    <row r="953" spans="1:11" x14ac:dyDescent="0.25">
      <c r="A953" s="25" t="s">
        <v>15</v>
      </c>
      <c r="B953" s="1" t="s">
        <v>21</v>
      </c>
      <c r="C953" s="2">
        <v>13471</v>
      </c>
      <c r="D953" s="2">
        <v>26682</v>
      </c>
      <c r="E953" s="1">
        <v>866</v>
      </c>
      <c r="F953" s="1">
        <v>3.86</v>
      </c>
      <c r="G953" s="1">
        <v>15285</v>
      </c>
      <c r="H953" s="1">
        <v>23.3</v>
      </c>
      <c r="I953" s="1" t="s">
        <v>22</v>
      </c>
      <c r="J953" s="1" t="s">
        <v>14</v>
      </c>
      <c r="K953" s="26">
        <v>8</v>
      </c>
    </row>
    <row r="954" spans="1:11" x14ac:dyDescent="0.25">
      <c r="A954" s="25" t="s">
        <v>18</v>
      </c>
      <c r="B954" s="1" t="s">
        <v>12</v>
      </c>
      <c r="C954" s="2">
        <v>130312</v>
      </c>
      <c r="D954" s="2">
        <v>3224</v>
      </c>
      <c r="E954" s="1">
        <v>304</v>
      </c>
      <c r="F954" s="1">
        <v>2.17</v>
      </c>
      <c r="G954" s="1">
        <v>11549</v>
      </c>
      <c r="H954" s="1">
        <v>20.2</v>
      </c>
      <c r="I954" s="1" t="s">
        <v>26</v>
      </c>
      <c r="J954" s="1" t="s">
        <v>20</v>
      </c>
      <c r="K954" s="26">
        <v>1</v>
      </c>
    </row>
    <row r="955" spans="1:11" x14ac:dyDescent="0.25">
      <c r="A955" s="25" t="s">
        <v>15</v>
      </c>
      <c r="B955" s="1" t="s">
        <v>12</v>
      </c>
      <c r="C955" s="2">
        <v>149401</v>
      </c>
      <c r="D955" s="2">
        <v>42157</v>
      </c>
      <c r="E955" s="1">
        <v>378</v>
      </c>
      <c r="F955" s="1">
        <v>3.1</v>
      </c>
      <c r="G955" s="1">
        <v>1286</v>
      </c>
      <c r="H955" s="1">
        <v>18.43</v>
      </c>
      <c r="I955" s="1" t="s">
        <v>13</v>
      </c>
      <c r="J955" s="1" t="s">
        <v>17</v>
      </c>
      <c r="K955" s="26">
        <v>9</v>
      </c>
    </row>
    <row r="956" spans="1:11" x14ac:dyDescent="0.25">
      <c r="A956" s="25" t="s">
        <v>11</v>
      </c>
      <c r="B956" s="1" t="s">
        <v>21</v>
      </c>
      <c r="C956" s="2">
        <v>175937</v>
      </c>
      <c r="D956" s="2">
        <v>49695</v>
      </c>
      <c r="E956" s="1">
        <v>965</v>
      </c>
      <c r="F956" s="1">
        <v>3.79</v>
      </c>
      <c r="G956" s="1">
        <v>4868</v>
      </c>
      <c r="H956" s="1">
        <v>26.77</v>
      </c>
      <c r="I956" s="1" t="s">
        <v>22</v>
      </c>
      <c r="J956" s="1" t="s">
        <v>17</v>
      </c>
      <c r="K956" s="26">
        <v>1</v>
      </c>
    </row>
    <row r="957" spans="1:11" x14ac:dyDescent="0.25">
      <c r="A957" s="25" t="s">
        <v>11</v>
      </c>
      <c r="B957" s="1" t="s">
        <v>21</v>
      </c>
      <c r="C957" s="2">
        <v>56850</v>
      </c>
      <c r="D957" s="2">
        <v>45452</v>
      </c>
      <c r="E957" s="1">
        <v>805</v>
      </c>
      <c r="F957" s="1">
        <v>4.5999999999999996</v>
      </c>
      <c r="G957" s="1">
        <v>15423</v>
      </c>
      <c r="H957" s="1">
        <v>2.36</v>
      </c>
      <c r="I957" s="1" t="s">
        <v>16</v>
      </c>
      <c r="J957" s="1" t="s">
        <v>14</v>
      </c>
      <c r="K957" s="26">
        <v>2</v>
      </c>
    </row>
    <row r="958" spans="1:11" x14ac:dyDescent="0.25">
      <c r="A958" s="25" t="s">
        <v>15</v>
      </c>
      <c r="B958" s="1" t="s">
        <v>21</v>
      </c>
      <c r="C958" s="2">
        <v>64220</v>
      </c>
      <c r="D958" s="2">
        <v>44408</v>
      </c>
      <c r="E958" s="1">
        <v>874</v>
      </c>
      <c r="F958" s="1">
        <v>4.17</v>
      </c>
      <c r="G958" s="1">
        <v>4772</v>
      </c>
      <c r="H958" s="1">
        <v>9.93</v>
      </c>
      <c r="I958" s="1" t="s">
        <v>23</v>
      </c>
      <c r="J958" s="1" t="s">
        <v>14</v>
      </c>
      <c r="K958" s="26">
        <v>8</v>
      </c>
    </row>
    <row r="959" spans="1:11" x14ac:dyDescent="0.25">
      <c r="A959" s="25" t="s">
        <v>18</v>
      </c>
      <c r="B959" s="1" t="s">
        <v>12</v>
      </c>
      <c r="C959" s="2">
        <v>103808</v>
      </c>
      <c r="D959" s="2">
        <v>33441</v>
      </c>
      <c r="E959" s="1">
        <v>703</v>
      </c>
      <c r="F959" s="1">
        <v>3.71</v>
      </c>
      <c r="G959" s="1">
        <v>6494</v>
      </c>
      <c r="H959" s="1">
        <v>7.45</v>
      </c>
      <c r="I959" s="1" t="s">
        <v>22</v>
      </c>
      <c r="J959" s="1" t="s">
        <v>14</v>
      </c>
      <c r="K959" s="26">
        <v>9</v>
      </c>
    </row>
    <row r="960" spans="1:11" x14ac:dyDescent="0.25">
      <c r="A960" s="25" t="s">
        <v>24</v>
      </c>
      <c r="B960" s="1" t="s">
        <v>12</v>
      </c>
      <c r="C960" s="2">
        <v>147469</v>
      </c>
      <c r="D960" s="2">
        <v>42430</v>
      </c>
      <c r="E960" s="1">
        <v>558</v>
      </c>
      <c r="F960" s="1">
        <v>3.72</v>
      </c>
      <c r="G960" s="1">
        <v>7511</v>
      </c>
      <c r="H960" s="1">
        <v>29.64</v>
      </c>
      <c r="I960" s="1" t="s">
        <v>23</v>
      </c>
      <c r="J960" s="1" t="s">
        <v>20</v>
      </c>
      <c r="K960" s="26">
        <v>7</v>
      </c>
    </row>
    <row r="961" spans="1:11" x14ac:dyDescent="0.25">
      <c r="A961" s="25" t="s">
        <v>11</v>
      </c>
      <c r="B961" s="1" t="s">
        <v>21</v>
      </c>
      <c r="C961" s="2">
        <v>176597</v>
      </c>
      <c r="D961" s="2">
        <v>40129</v>
      </c>
      <c r="E961" s="1">
        <v>658</v>
      </c>
      <c r="F961" s="1">
        <v>4.78</v>
      </c>
      <c r="G961" s="1">
        <v>14586</v>
      </c>
      <c r="H961" s="1">
        <v>11.68</v>
      </c>
      <c r="I961" s="1" t="s">
        <v>16</v>
      </c>
      <c r="J961" s="1" t="s">
        <v>17</v>
      </c>
      <c r="K961" s="26">
        <v>3</v>
      </c>
    </row>
    <row r="962" spans="1:11" x14ac:dyDescent="0.25">
      <c r="A962" s="25" t="s">
        <v>18</v>
      </c>
      <c r="B962" s="1" t="s">
        <v>19</v>
      </c>
      <c r="C962" s="2">
        <v>63072</v>
      </c>
      <c r="D962" s="2">
        <v>35716</v>
      </c>
      <c r="E962" s="1">
        <v>859</v>
      </c>
      <c r="F962" s="1">
        <v>2.1800000000000002</v>
      </c>
      <c r="G962" s="1">
        <v>9761</v>
      </c>
      <c r="H962" s="1">
        <v>21.98</v>
      </c>
      <c r="I962" s="1" t="s">
        <v>22</v>
      </c>
      <c r="J962" s="1" t="s">
        <v>17</v>
      </c>
      <c r="K962" s="26">
        <v>7</v>
      </c>
    </row>
    <row r="963" spans="1:11" x14ac:dyDescent="0.25">
      <c r="A963" s="25" t="s">
        <v>18</v>
      </c>
      <c r="B963" s="1" t="s">
        <v>19</v>
      </c>
      <c r="C963" s="2">
        <v>93820</v>
      </c>
      <c r="D963" s="2">
        <v>45859</v>
      </c>
      <c r="E963" s="1">
        <v>577</v>
      </c>
      <c r="F963" s="1">
        <v>1</v>
      </c>
      <c r="G963" s="1">
        <v>19233</v>
      </c>
      <c r="H963" s="1">
        <v>20.54</v>
      </c>
      <c r="I963" s="1" t="s">
        <v>26</v>
      </c>
      <c r="J963" s="1" t="s">
        <v>17</v>
      </c>
      <c r="K963" s="26">
        <v>6</v>
      </c>
    </row>
    <row r="964" spans="1:11" x14ac:dyDescent="0.25">
      <c r="A964" s="25" t="s">
        <v>24</v>
      </c>
      <c r="B964" s="1" t="s">
        <v>27</v>
      </c>
      <c r="C964" s="2">
        <v>33284</v>
      </c>
      <c r="D964" s="2">
        <v>27586</v>
      </c>
      <c r="E964" s="1">
        <v>196</v>
      </c>
      <c r="F964" s="1">
        <v>2.09</v>
      </c>
      <c r="G964" s="1">
        <v>7511</v>
      </c>
      <c r="H964" s="1">
        <v>6.36</v>
      </c>
      <c r="I964" s="1" t="s">
        <v>13</v>
      </c>
      <c r="J964" s="1" t="s">
        <v>14</v>
      </c>
      <c r="K964" s="26">
        <v>2</v>
      </c>
    </row>
    <row r="965" spans="1:11" x14ac:dyDescent="0.25">
      <c r="A965" s="25" t="s">
        <v>11</v>
      </c>
      <c r="B965" s="1" t="s">
        <v>25</v>
      </c>
      <c r="C965" s="2">
        <v>93369</v>
      </c>
      <c r="D965" s="2">
        <v>45760</v>
      </c>
      <c r="E965" s="1">
        <v>862</v>
      </c>
      <c r="F965" s="1">
        <v>1.87</v>
      </c>
      <c r="G965" s="1">
        <v>1712</v>
      </c>
      <c r="H965" s="1">
        <v>7.17</v>
      </c>
      <c r="I965" s="1" t="s">
        <v>22</v>
      </c>
      <c r="J965" s="1" t="s">
        <v>17</v>
      </c>
      <c r="K965" s="26">
        <v>3</v>
      </c>
    </row>
    <row r="966" spans="1:11" x14ac:dyDescent="0.25">
      <c r="A966" s="25" t="s">
        <v>11</v>
      </c>
      <c r="B966" s="1" t="s">
        <v>19</v>
      </c>
      <c r="C966" s="2">
        <v>35122</v>
      </c>
      <c r="D966" s="2">
        <v>24478</v>
      </c>
      <c r="E966" s="1">
        <v>779</v>
      </c>
      <c r="F966" s="1">
        <v>3.65</v>
      </c>
      <c r="G966" s="1">
        <v>14641</v>
      </c>
      <c r="H966" s="1">
        <v>8.44</v>
      </c>
      <c r="I966" s="1" t="s">
        <v>16</v>
      </c>
      <c r="J966" s="1" t="s">
        <v>20</v>
      </c>
      <c r="K966" s="26">
        <v>5</v>
      </c>
    </row>
    <row r="967" spans="1:11" x14ac:dyDescent="0.25">
      <c r="A967" s="25" t="s">
        <v>18</v>
      </c>
      <c r="B967" s="1" t="s">
        <v>12</v>
      </c>
      <c r="C967" s="2">
        <v>140349</v>
      </c>
      <c r="D967" s="2">
        <v>7318</v>
      </c>
      <c r="E967" s="1">
        <v>454</v>
      </c>
      <c r="F967" s="1">
        <v>3.53</v>
      </c>
      <c r="G967" s="1">
        <v>9844</v>
      </c>
      <c r="H967" s="1">
        <v>12.33</v>
      </c>
      <c r="I967" s="1" t="s">
        <v>22</v>
      </c>
      <c r="J967" s="1" t="s">
        <v>20</v>
      </c>
      <c r="K967" s="26">
        <v>4</v>
      </c>
    </row>
    <row r="968" spans="1:11" x14ac:dyDescent="0.25">
      <c r="A968" s="25" t="s">
        <v>18</v>
      </c>
      <c r="B968" s="1" t="s">
        <v>19</v>
      </c>
      <c r="C968" s="2">
        <v>80553</v>
      </c>
      <c r="D968" s="2">
        <v>29694</v>
      </c>
      <c r="E968" s="1">
        <v>579</v>
      </c>
      <c r="F968" s="1">
        <v>3.37</v>
      </c>
      <c r="G968" s="1">
        <v>7204</v>
      </c>
      <c r="H968" s="1">
        <v>7.03</v>
      </c>
      <c r="I968" s="1" t="s">
        <v>23</v>
      </c>
      <c r="J968" s="1" t="s">
        <v>17</v>
      </c>
      <c r="K968" s="26">
        <v>2</v>
      </c>
    </row>
    <row r="969" spans="1:11" x14ac:dyDescent="0.25">
      <c r="A969" s="25" t="s">
        <v>24</v>
      </c>
      <c r="B969" s="1" t="s">
        <v>27</v>
      </c>
      <c r="C969" s="2">
        <v>104788</v>
      </c>
      <c r="D969" s="2">
        <v>21180</v>
      </c>
      <c r="E969" s="1">
        <v>372</v>
      </c>
      <c r="F969" s="1">
        <v>1.06</v>
      </c>
      <c r="G969" s="1">
        <v>16396</v>
      </c>
      <c r="H969" s="1">
        <v>0.59</v>
      </c>
      <c r="I969" s="1" t="s">
        <v>22</v>
      </c>
      <c r="J969" s="1" t="s">
        <v>14</v>
      </c>
      <c r="K969" s="26">
        <v>4</v>
      </c>
    </row>
    <row r="970" spans="1:11" x14ac:dyDescent="0.25">
      <c r="A970" s="25" t="s">
        <v>24</v>
      </c>
      <c r="B970" s="1" t="s">
        <v>27</v>
      </c>
      <c r="C970" s="2">
        <v>72812</v>
      </c>
      <c r="D970" s="2">
        <v>13180</v>
      </c>
      <c r="E970" s="1">
        <v>132</v>
      </c>
      <c r="F970" s="1">
        <v>3.92</v>
      </c>
      <c r="G970" s="1">
        <v>19395</v>
      </c>
      <c r="H970" s="1">
        <v>26.38</v>
      </c>
      <c r="I970" s="1" t="s">
        <v>26</v>
      </c>
      <c r="J970" s="1" t="s">
        <v>17</v>
      </c>
      <c r="K970" s="26">
        <v>8</v>
      </c>
    </row>
    <row r="971" spans="1:11" x14ac:dyDescent="0.25">
      <c r="A971" s="25" t="s">
        <v>11</v>
      </c>
      <c r="B971" s="1" t="s">
        <v>25</v>
      </c>
      <c r="C971" s="2">
        <v>17999</v>
      </c>
      <c r="D971" s="2">
        <v>34002</v>
      </c>
      <c r="E971" s="1">
        <v>197</v>
      </c>
      <c r="F971" s="1">
        <v>2.29</v>
      </c>
      <c r="G971" s="1">
        <v>643</v>
      </c>
      <c r="H971" s="1">
        <v>28.97</v>
      </c>
      <c r="I971" s="1" t="s">
        <v>22</v>
      </c>
      <c r="J971" s="1" t="s">
        <v>20</v>
      </c>
      <c r="K971" s="26">
        <v>5</v>
      </c>
    </row>
    <row r="972" spans="1:11" x14ac:dyDescent="0.25">
      <c r="A972" s="25" t="s">
        <v>15</v>
      </c>
      <c r="B972" s="1" t="s">
        <v>19</v>
      </c>
      <c r="C972" s="2">
        <v>32436</v>
      </c>
      <c r="D972" s="2">
        <v>16372</v>
      </c>
      <c r="E972" s="1">
        <v>751</v>
      </c>
      <c r="F972" s="1">
        <v>3.66</v>
      </c>
      <c r="G972" s="1">
        <v>11181</v>
      </c>
      <c r="H972" s="1">
        <v>10.25</v>
      </c>
      <c r="I972" s="1" t="s">
        <v>13</v>
      </c>
      <c r="J972" s="1" t="s">
        <v>20</v>
      </c>
      <c r="K972" s="26">
        <v>5</v>
      </c>
    </row>
    <row r="973" spans="1:11" x14ac:dyDescent="0.25">
      <c r="A973" s="25" t="s">
        <v>11</v>
      </c>
      <c r="B973" s="1" t="s">
        <v>12</v>
      </c>
      <c r="C973" s="2">
        <v>52963</v>
      </c>
      <c r="D973" s="2">
        <v>30796</v>
      </c>
      <c r="E973" s="1">
        <v>689</v>
      </c>
      <c r="F973" s="1">
        <v>3.23</v>
      </c>
      <c r="G973" s="1">
        <v>7867</v>
      </c>
      <c r="H973" s="1">
        <v>10.16</v>
      </c>
      <c r="I973" s="1" t="s">
        <v>22</v>
      </c>
      <c r="J973" s="1" t="s">
        <v>20</v>
      </c>
      <c r="K973" s="26">
        <v>3</v>
      </c>
    </row>
    <row r="974" spans="1:11" x14ac:dyDescent="0.25">
      <c r="A974" s="25" t="s">
        <v>18</v>
      </c>
      <c r="B974" s="1" t="s">
        <v>12</v>
      </c>
      <c r="C974" s="2">
        <v>143168</v>
      </c>
      <c r="D974" s="2">
        <v>25427</v>
      </c>
      <c r="E974" s="1">
        <v>429</v>
      </c>
      <c r="F974" s="1">
        <v>2.37</v>
      </c>
      <c r="G974" s="1">
        <v>3728</v>
      </c>
      <c r="H974" s="1">
        <v>0.21</v>
      </c>
      <c r="I974" s="1" t="s">
        <v>23</v>
      </c>
      <c r="J974" s="1" t="s">
        <v>17</v>
      </c>
      <c r="K974" s="26">
        <v>8</v>
      </c>
    </row>
    <row r="975" spans="1:11" x14ac:dyDescent="0.25">
      <c r="A975" s="25" t="s">
        <v>11</v>
      </c>
      <c r="B975" s="1" t="s">
        <v>21</v>
      </c>
      <c r="C975" s="2">
        <v>166351</v>
      </c>
      <c r="D975" s="2">
        <v>34290</v>
      </c>
      <c r="E975" s="1">
        <v>635</v>
      </c>
      <c r="F975" s="1">
        <v>1.54</v>
      </c>
      <c r="G975" s="1">
        <v>5082</v>
      </c>
      <c r="H975" s="1">
        <v>20.41</v>
      </c>
      <c r="I975" s="1" t="s">
        <v>22</v>
      </c>
      <c r="J975" s="1" t="s">
        <v>20</v>
      </c>
      <c r="K975" s="26">
        <v>6</v>
      </c>
    </row>
    <row r="976" spans="1:11" x14ac:dyDescent="0.25">
      <c r="A976" s="25" t="s">
        <v>15</v>
      </c>
      <c r="B976" s="1" t="s">
        <v>12</v>
      </c>
      <c r="C976" s="2">
        <v>118899</v>
      </c>
      <c r="D976" s="2">
        <v>29099</v>
      </c>
      <c r="E976" s="1">
        <v>261</v>
      </c>
      <c r="F976" s="1">
        <v>1.38</v>
      </c>
      <c r="G976" s="1">
        <v>13647</v>
      </c>
      <c r="H976" s="1">
        <v>24.76</v>
      </c>
      <c r="I976" s="1" t="s">
        <v>26</v>
      </c>
      <c r="J976" s="1" t="s">
        <v>14</v>
      </c>
      <c r="K976" s="26">
        <v>2</v>
      </c>
    </row>
    <row r="977" spans="1:11" x14ac:dyDescent="0.25">
      <c r="A977" s="25" t="s">
        <v>24</v>
      </c>
      <c r="B977" s="1" t="s">
        <v>25</v>
      </c>
      <c r="C977" s="2">
        <v>36201</v>
      </c>
      <c r="D977" s="2">
        <v>46486</v>
      </c>
      <c r="E977" s="1">
        <v>628</v>
      </c>
      <c r="F977" s="1">
        <v>4.33</v>
      </c>
      <c r="G977" s="1">
        <v>11897</v>
      </c>
      <c r="H977" s="1">
        <v>4.4000000000000004</v>
      </c>
      <c r="I977" s="1" t="s">
        <v>16</v>
      </c>
      <c r="J977" s="1" t="s">
        <v>17</v>
      </c>
      <c r="K977" s="26">
        <v>2</v>
      </c>
    </row>
    <row r="978" spans="1:11" x14ac:dyDescent="0.25">
      <c r="A978" s="25" t="s">
        <v>15</v>
      </c>
      <c r="B978" s="1" t="s">
        <v>25</v>
      </c>
      <c r="C978" s="2">
        <v>160787</v>
      </c>
      <c r="D978" s="2">
        <v>10821</v>
      </c>
      <c r="E978" s="1">
        <v>558</v>
      </c>
      <c r="F978" s="1">
        <v>4.67</v>
      </c>
      <c r="G978" s="1">
        <v>6531</v>
      </c>
      <c r="H978" s="1">
        <v>4.79</v>
      </c>
      <c r="I978" s="1" t="s">
        <v>22</v>
      </c>
      <c r="J978" s="1" t="s">
        <v>17</v>
      </c>
      <c r="K978" s="26">
        <v>9</v>
      </c>
    </row>
    <row r="979" spans="1:11" x14ac:dyDescent="0.25">
      <c r="A979" s="25" t="s">
        <v>15</v>
      </c>
      <c r="B979" s="1" t="s">
        <v>12</v>
      </c>
      <c r="C979" s="2">
        <v>170381</v>
      </c>
      <c r="D979" s="2">
        <v>6832</v>
      </c>
      <c r="E979" s="1">
        <v>344</v>
      </c>
      <c r="F979" s="1">
        <v>3.6</v>
      </c>
      <c r="G979" s="1">
        <v>4743</v>
      </c>
      <c r="H979" s="1">
        <v>23.7</v>
      </c>
      <c r="I979" s="1" t="s">
        <v>22</v>
      </c>
      <c r="J979" s="1" t="s">
        <v>20</v>
      </c>
      <c r="K979" s="26">
        <v>7</v>
      </c>
    </row>
    <row r="980" spans="1:11" x14ac:dyDescent="0.25">
      <c r="A980" s="25" t="s">
        <v>15</v>
      </c>
      <c r="B980" s="1" t="s">
        <v>12</v>
      </c>
      <c r="C980" s="2">
        <v>156150</v>
      </c>
      <c r="D980" s="2">
        <v>13820</v>
      </c>
      <c r="E980" s="1">
        <v>101</v>
      </c>
      <c r="F980" s="1">
        <v>1.41</v>
      </c>
      <c r="G980" s="1">
        <v>14147</v>
      </c>
      <c r="H980" s="1">
        <v>18.489999999999998</v>
      </c>
      <c r="I980" s="1" t="s">
        <v>13</v>
      </c>
      <c r="J980" s="1" t="s">
        <v>20</v>
      </c>
      <c r="K980" s="26">
        <v>9</v>
      </c>
    </row>
    <row r="981" spans="1:11" x14ac:dyDescent="0.25">
      <c r="A981" s="25" t="s">
        <v>24</v>
      </c>
      <c r="B981" s="1" t="s">
        <v>21</v>
      </c>
      <c r="C981" s="2">
        <v>197686</v>
      </c>
      <c r="D981" s="2">
        <v>17211</v>
      </c>
      <c r="E981" s="1">
        <v>539</v>
      </c>
      <c r="F981" s="1">
        <v>2.61</v>
      </c>
      <c r="G981" s="1">
        <v>11996</v>
      </c>
      <c r="H981" s="1">
        <v>1.35</v>
      </c>
      <c r="I981" s="1" t="s">
        <v>26</v>
      </c>
      <c r="J981" s="1" t="s">
        <v>14</v>
      </c>
      <c r="K981" s="26">
        <v>6</v>
      </c>
    </row>
    <row r="982" spans="1:11" x14ac:dyDescent="0.25">
      <c r="A982" s="25" t="s">
        <v>15</v>
      </c>
      <c r="B982" s="1" t="s">
        <v>12</v>
      </c>
      <c r="C982" s="2">
        <v>15105</v>
      </c>
      <c r="D982" s="2">
        <v>40890</v>
      </c>
      <c r="E982" s="1">
        <v>875</v>
      </c>
      <c r="F982" s="1">
        <v>3.92</v>
      </c>
      <c r="G982" s="1">
        <v>10049</v>
      </c>
      <c r="H982" s="1">
        <v>18.68</v>
      </c>
      <c r="I982" s="1" t="s">
        <v>16</v>
      </c>
      <c r="J982" s="1" t="s">
        <v>17</v>
      </c>
      <c r="K982" s="26">
        <v>5</v>
      </c>
    </row>
    <row r="983" spans="1:11" x14ac:dyDescent="0.25">
      <c r="A983" s="25" t="s">
        <v>15</v>
      </c>
      <c r="B983" s="1" t="s">
        <v>21</v>
      </c>
      <c r="C983" s="2">
        <v>127666</v>
      </c>
      <c r="D983" s="2">
        <v>6842</v>
      </c>
      <c r="E983" s="1">
        <v>72</v>
      </c>
      <c r="F983" s="1">
        <v>4.12</v>
      </c>
      <c r="G983" s="1">
        <v>15646</v>
      </c>
      <c r="H983" s="1">
        <v>9.27</v>
      </c>
      <c r="I983" s="1" t="s">
        <v>23</v>
      </c>
      <c r="J983" s="1" t="s">
        <v>20</v>
      </c>
      <c r="K983" s="26">
        <v>1</v>
      </c>
    </row>
    <row r="984" spans="1:11" x14ac:dyDescent="0.25">
      <c r="A984" s="25" t="s">
        <v>15</v>
      </c>
      <c r="B984" s="1" t="s">
        <v>21</v>
      </c>
      <c r="C984" s="2">
        <v>104848</v>
      </c>
      <c r="D984" s="2">
        <v>2316</v>
      </c>
      <c r="E984" s="1">
        <v>671</v>
      </c>
      <c r="F984" s="1">
        <v>1.47</v>
      </c>
      <c r="G984" s="1">
        <v>19597</v>
      </c>
      <c r="H984" s="1">
        <v>11.06</v>
      </c>
      <c r="I984" s="1" t="s">
        <v>22</v>
      </c>
      <c r="J984" s="1" t="s">
        <v>14</v>
      </c>
      <c r="K984" s="26">
        <v>6</v>
      </c>
    </row>
    <row r="985" spans="1:11" x14ac:dyDescent="0.25">
      <c r="A985" s="25" t="s">
        <v>18</v>
      </c>
      <c r="B985" s="1" t="s">
        <v>12</v>
      </c>
      <c r="C985" s="2">
        <v>12839</v>
      </c>
      <c r="D985" s="2">
        <v>46968</v>
      </c>
      <c r="E985" s="1">
        <v>521</v>
      </c>
      <c r="F985" s="1">
        <v>1</v>
      </c>
      <c r="G985" s="1">
        <v>4685</v>
      </c>
      <c r="H985" s="1">
        <v>23.09</v>
      </c>
      <c r="I985" s="1" t="s">
        <v>16</v>
      </c>
      <c r="J985" s="1" t="s">
        <v>20</v>
      </c>
      <c r="K985" s="26">
        <v>6</v>
      </c>
    </row>
    <row r="986" spans="1:11" x14ac:dyDescent="0.25">
      <c r="A986" s="25" t="s">
        <v>15</v>
      </c>
      <c r="B986" s="1" t="s">
        <v>27</v>
      </c>
      <c r="C986" s="2">
        <v>78920</v>
      </c>
      <c r="D986" s="2">
        <v>18508</v>
      </c>
      <c r="E986" s="1">
        <v>148</v>
      </c>
      <c r="F986" s="1">
        <v>3.85</v>
      </c>
      <c r="G986" s="1">
        <v>12986</v>
      </c>
      <c r="H986" s="1">
        <v>24.33</v>
      </c>
      <c r="I986" s="1" t="s">
        <v>23</v>
      </c>
      <c r="J986" s="1" t="s">
        <v>17</v>
      </c>
      <c r="K986" s="26">
        <v>3</v>
      </c>
    </row>
    <row r="987" spans="1:11" x14ac:dyDescent="0.25">
      <c r="A987" s="25" t="s">
        <v>24</v>
      </c>
      <c r="B987" s="1" t="s">
        <v>27</v>
      </c>
      <c r="C987" s="2">
        <v>53619</v>
      </c>
      <c r="D987" s="2">
        <v>23005</v>
      </c>
      <c r="E987" s="1">
        <v>707</v>
      </c>
      <c r="F987" s="1">
        <v>2.4300000000000002</v>
      </c>
      <c r="G987" s="1">
        <v>7828</v>
      </c>
      <c r="H987" s="1">
        <v>12.01</v>
      </c>
      <c r="I987" s="1" t="s">
        <v>26</v>
      </c>
      <c r="J987" s="1" t="s">
        <v>20</v>
      </c>
      <c r="K987" s="26">
        <v>3</v>
      </c>
    </row>
    <row r="988" spans="1:11" x14ac:dyDescent="0.25">
      <c r="A988" s="25" t="s">
        <v>15</v>
      </c>
      <c r="B988" s="1" t="s">
        <v>21</v>
      </c>
      <c r="C988" s="2">
        <v>52821</v>
      </c>
      <c r="D988" s="2">
        <v>16206</v>
      </c>
      <c r="E988" s="1">
        <v>194</v>
      </c>
      <c r="F988" s="1">
        <v>2.02</v>
      </c>
      <c r="G988" s="1">
        <v>17184</v>
      </c>
      <c r="H988" s="1">
        <v>28.41</v>
      </c>
      <c r="I988" s="1" t="s">
        <v>26</v>
      </c>
      <c r="J988" s="1" t="s">
        <v>17</v>
      </c>
      <c r="K988" s="26">
        <v>3</v>
      </c>
    </row>
    <row r="989" spans="1:11" x14ac:dyDescent="0.25">
      <c r="A989" s="25" t="s">
        <v>15</v>
      </c>
      <c r="B989" s="1" t="s">
        <v>12</v>
      </c>
      <c r="C989" s="2">
        <v>135736</v>
      </c>
      <c r="D989" s="2">
        <v>19971</v>
      </c>
      <c r="E989" s="1">
        <v>214</v>
      </c>
      <c r="F989" s="1">
        <v>1.05</v>
      </c>
      <c r="G989" s="1">
        <v>17607</v>
      </c>
      <c r="H989" s="1">
        <v>12.19</v>
      </c>
      <c r="I989" s="1" t="s">
        <v>16</v>
      </c>
      <c r="J989" s="1" t="s">
        <v>20</v>
      </c>
      <c r="K989" s="26">
        <v>3</v>
      </c>
    </row>
    <row r="990" spans="1:11" x14ac:dyDescent="0.25">
      <c r="A990" s="25" t="s">
        <v>24</v>
      </c>
      <c r="B990" s="1" t="s">
        <v>27</v>
      </c>
      <c r="C990" s="2">
        <v>154565</v>
      </c>
      <c r="D990" s="2">
        <v>26599</v>
      </c>
      <c r="E990" s="1">
        <v>781</v>
      </c>
      <c r="F990" s="1">
        <v>3.16</v>
      </c>
      <c r="G990" s="1">
        <v>3510</v>
      </c>
      <c r="H990" s="1">
        <v>23.16</v>
      </c>
      <c r="I990" s="1" t="s">
        <v>23</v>
      </c>
      <c r="J990" s="1" t="s">
        <v>17</v>
      </c>
      <c r="K990" s="26">
        <v>7</v>
      </c>
    </row>
    <row r="991" spans="1:11" x14ac:dyDescent="0.25">
      <c r="A991" s="25" t="s">
        <v>15</v>
      </c>
      <c r="B991" s="1" t="s">
        <v>12</v>
      </c>
      <c r="C991" s="2">
        <v>27069</v>
      </c>
      <c r="D991" s="2">
        <v>23056</v>
      </c>
      <c r="E991" s="1">
        <v>223</v>
      </c>
      <c r="F991" s="1">
        <v>4.4000000000000004</v>
      </c>
      <c r="G991" s="1">
        <v>6055</v>
      </c>
      <c r="H991" s="1">
        <v>14.52</v>
      </c>
      <c r="I991" s="1" t="s">
        <v>26</v>
      </c>
      <c r="J991" s="1" t="s">
        <v>14</v>
      </c>
      <c r="K991" s="26">
        <v>2</v>
      </c>
    </row>
    <row r="992" spans="1:11" x14ac:dyDescent="0.25">
      <c r="A992" s="25" t="s">
        <v>24</v>
      </c>
      <c r="B992" s="1" t="s">
        <v>12</v>
      </c>
      <c r="C992" s="2">
        <v>17531</v>
      </c>
      <c r="D992" s="2">
        <v>2378</v>
      </c>
      <c r="E992" s="1">
        <v>265</v>
      </c>
      <c r="F992" s="1">
        <v>4.83</v>
      </c>
      <c r="G992" s="1">
        <v>567</v>
      </c>
      <c r="H992" s="1">
        <v>26.93</v>
      </c>
      <c r="I992" s="1" t="s">
        <v>16</v>
      </c>
      <c r="J992" s="1" t="s">
        <v>17</v>
      </c>
      <c r="K992" s="26">
        <v>2</v>
      </c>
    </row>
    <row r="993" spans="1:11" x14ac:dyDescent="0.25">
      <c r="A993" s="25" t="s">
        <v>15</v>
      </c>
      <c r="B993" s="1" t="s">
        <v>12</v>
      </c>
      <c r="C993" s="2">
        <v>178123</v>
      </c>
      <c r="D993" s="2">
        <v>2519</v>
      </c>
      <c r="E993" s="1">
        <v>144</v>
      </c>
      <c r="F993" s="1">
        <v>3.26</v>
      </c>
      <c r="G993" s="1">
        <v>12685</v>
      </c>
      <c r="H993" s="1">
        <v>27.23</v>
      </c>
      <c r="I993" s="1" t="s">
        <v>26</v>
      </c>
      <c r="J993" s="1" t="s">
        <v>14</v>
      </c>
      <c r="K993" s="26">
        <v>3</v>
      </c>
    </row>
    <row r="994" spans="1:11" x14ac:dyDescent="0.25">
      <c r="A994" s="25" t="s">
        <v>24</v>
      </c>
      <c r="B994" s="1" t="s">
        <v>19</v>
      </c>
      <c r="C994" s="2">
        <v>148808</v>
      </c>
      <c r="D994" s="2">
        <v>23161</v>
      </c>
      <c r="E994" s="1">
        <v>582</v>
      </c>
      <c r="F994" s="1">
        <v>3.06</v>
      </c>
      <c r="G994" s="1">
        <v>19390</v>
      </c>
      <c r="H994" s="1">
        <v>2.62</v>
      </c>
      <c r="I994" s="1" t="s">
        <v>26</v>
      </c>
      <c r="J994" s="1" t="s">
        <v>17</v>
      </c>
      <c r="K994" s="26">
        <v>7</v>
      </c>
    </row>
    <row r="995" spans="1:11" x14ac:dyDescent="0.25">
      <c r="A995" s="25" t="s">
        <v>15</v>
      </c>
      <c r="B995" s="1" t="s">
        <v>12</v>
      </c>
      <c r="C995" s="2">
        <v>148782</v>
      </c>
      <c r="D995" s="2">
        <v>41703</v>
      </c>
      <c r="E995" s="1">
        <v>884</v>
      </c>
      <c r="F995" s="1">
        <v>1.34</v>
      </c>
      <c r="G995" s="1">
        <v>2037</v>
      </c>
      <c r="H995" s="1">
        <v>28.09</v>
      </c>
      <c r="I995" s="1" t="s">
        <v>26</v>
      </c>
      <c r="J995" s="1" t="s">
        <v>14</v>
      </c>
      <c r="K995" s="26">
        <v>3</v>
      </c>
    </row>
    <row r="996" spans="1:11" x14ac:dyDescent="0.25">
      <c r="A996" s="25" t="s">
        <v>15</v>
      </c>
      <c r="B996" s="1" t="s">
        <v>19</v>
      </c>
      <c r="C996" s="2">
        <v>77155</v>
      </c>
      <c r="D996" s="2">
        <v>39861</v>
      </c>
      <c r="E996" s="1">
        <v>831</v>
      </c>
      <c r="F996" s="1">
        <v>3.2</v>
      </c>
      <c r="G996" s="1">
        <v>17281</v>
      </c>
      <c r="H996" s="1">
        <v>24.77</v>
      </c>
      <c r="I996" s="1" t="s">
        <v>13</v>
      </c>
      <c r="J996" s="1" t="s">
        <v>20</v>
      </c>
      <c r="K996" s="26">
        <v>7</v>
      </c>
    </row>
    <row r="997" spans="1:11" x14ac:dyDescent="0.25">
      <c r="A997" s="25" t="s">
        <v>18</v>
      </c>
      <c r="B997" s="1" t="s">
        <v>21</v>
      </c>
      <c r="C997" s="2">
        <v>155047</v>
      </c>
      <c r="D997" s="2">
        <v>6355</v>
      </c>
      <c r="E997" s="1">
        <v>97</v>
      </c>
      <c r="F997" s="1">
        <v>2.52</v>
      </c>
      <c r="G997" s="1">
        <v>12049</v>
      </c>
      <c r="H997" s="1">
        <v>23.74</v>
      </c>
      <c r="I997" s="1" t="s">
        <v>23</v>
      </c>
      <c r="J997" s="1" t="s">
        <v>17</v>
      </c>
      <c r="K997" s="26">
        <v>9</v>
      </c>
    </row>
    <row r="998" spans="1:11" x14ac:dyDescent="0.25">
      <c r="A998" s="25" t="s">
        <v>18</v>
      </c>
      <c r="B998" s="1" t="s">
        <v>27</v>
      </c>
      <c r="C998" s="2">
        <v>72424</v>
      </c>
      <c r="D998" s="2">
        <v>10083</v>
      </c>
      <c r="E998" s="1">
        <v>845</v>
      </c>
      <c r="F998" s="1">
        <v>3.43</v>
      </c>
      <c r="G998" s="1">
        <v>6180</v>
      </c>
      <c r="H998" s="1">
        <v>6.03</v>
      </c>
      <c r="I998" s="1" t="s">
        <v>16</v>
      </c>
      <c r="J998" s="1" t="s">
        <v>20</v>
      </c>
      <c r="K998" s="26">
        <v>4</v>
      </c>
    </row>
    <row r="999" spans="1:11" x14ac:dyDescent="0.25">
      <c r="A999" s="25" t="s">
        <v>15</v>
      </c>
      <c r="B999" s="1" t="s">
        <v>27</v>
      </c>
      <c r="C999" s="2">
        <v>55603</v>
      </c>
      <c r="D999" s="2">
        <v>39342</v>
      </c>
      <c r="E999" s="1">
        <v>997</v>
      </c>
      <c r="F999" s="1">
        <v>2.5499999999999998</v>
      </c>
      <c r="G999" s="1">
        <v>9247</v>
      </c>
      <c r="H999" s="1">
        <v>24.15</v>
      </c>
      <c r="I999" s="1" t="s">
        <v>16</v>
      </c>
      <c r="J999" s="1" t="s">
        <v>14</v>
      </c>
      <c r="K999" s="26">
        <v>7</v>
      </c>
    </row>
    <row r="1000" spans="1:11" x14ac:dyDescent="0.25">
      <c r="A1000" s="25" t="s">
        <v>15</v>
      </c>
      <c r="B1000" s="1" t="s">
        <v>27</v>
      </c>
      <c r="C1000" s="2">
        <v>164324</v>
      </c>
      <c r="D1000" s="2">
        <v>21456</v>
      </c>
      <c r="E1000" s="1">
        <v>216</v>
      </c>
      <c r="F1000" s="1">
        <v>1.96</v>
      </c>
      <c r="G1000" s="1">
        <v>15616</v>
      </c>
      <c r="H1000" s="1">
        <v>25.5</v>
      </c>
      <c r="I1000" s="1" t="s">
        <v>23</v>
      </c>
      <c r="J1000" s="1" t="s">
        <v>17</v>
      </c>
      <c r="K1000" s="26">
        <v>9</v>
      </c>
    </row>
    <row r="1001" spans="1:11" x14ac:dyDescent="0.25">
      <c r="A1001" s="30" t="s">
        <v>11</v>
      </c>
      <c r="B1001" s="31" t="s">
        <v>27</v>
      </c>
      <c r="C1001" s="32">
        <v>142503</v>
      </c>
      <c r="D1001" s="32">
        <v>14324</v>
      </c>
      <c r="E1001" s="31">
        <v>138</v>
      </c>
      <c r="F1001" s="31">
        <v>1.38</v>
      </c>
      <c r="G1001" s="31">
        <v>3441</v>
      </c>
      <c r="H1001" s="31">
        <v>8.67</v>
      </c>
      <c r="I1001" s="31" t="s">
        <v>23</v>
      </c>
      <c r="J1001" s="31" t="s">
        <v>17</v>
      </c>
      <c r="K1001" s="33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4D1DF-28BC-4BB3-9095-908900E829B1}">
  <dimension ref="C3:D13"/>
  <sheetViews>
    <sheetView workbookViewId="0">
      <selection activeCell="G12" sqref="G12"/>
    </sheetView>
  </sheetViews>
  <sheetFormatPr defaultRowHeight="15" x14ac:dyDescent="0.25"/>
  <cols>
    <col min="2" max="2" width="8.7109375" customWidth="1"/>
    <col min="3" max="3" width="25.140625" bestFit="1" customWidth="1"/>
    <col min="4" max="4" width="28" customWidth="1"/>
  </cols>
  <sheetData>
    <row r="3" spans="3:4" ht="35.25" customHeight="1" x14ac:dyDescent="0.25">
      <c r="C3" s="20" t="s">
        <v>37</v>
      </c>
      <c r="D3" s="20"/>
    </row>
    <row r="5" spans="3:4" x14ac:dyDescent="0.25">
      <c r="C5" s="16" t="s">
        <v>28</v>
      </c>
      <c r="D5" s="16" t="s">
        <v>29</v>
      </c>
    </row>
    <row r="6" spans="3:4" x14ac:dyDescent="0.25">
      <c r="C6" s="1" t="s">
        <v>30</v>
      </c>
      <c r="D6" s="2">
        <f>SUM(sales_data!C2:C1001)</f>
        <v>107315608</v>
      </c>
    </row>
    <row r="7" spans="3:4" x14ac:dyDescent="0.25">
      <c r="C7" s="1" t="s">
        <v>30</v>
      </c>
      <c r="D7" s="2">
        <f>SUM(sales_data!D2:D1001)</f>
        <v>23973118</v>
      </c>
    </row>
    <row r="8" spans="3:4" x14ac:dyDescent="0.25">
      <c r="C8" s="1" t="s">
        <v>36</v>
      </c>
      <c r="D8" s="6">
        <f>SUM(sales_data!E2:E1001)</f>
        <v>498594</v>
      </c>
    </row>
    <row r="9" spans="3:4" x14ac:dyDescent="0.25">
      <c r="C9" s="1" t="s">
        <v>31</v>
      </c>
      <c r="D9" s="3">
        <f>AVERAGE(sales_data!F2:F1001)</f>
        <v>2.9634199999999988</v>
      </c>
    </row>
    <row r="10" spans="3:4" x14ac:dyDescent="0.25">
      <c r="C10" s="1" t="s">
        <v>32</v>
      </c>
      <c r="D10" s="4">
        <f>AVERAGE(sales_data!G2:G1001)</f>
        <v>10181.017</v>
      </c>
    </row>
    <row r="11" spans="3:4" x14ac:dyDescent="0.25">
      <c r="C11" s="1" t="s">
        <v>33</v>
      </c>
      <c r="D11" s="3">
        <f>AVERAGE(sales_data!H2:H1001)</f>
        <v>14.989309999999987</v>
      </c>
    </row>
    <row r="12" spans="3:4" x14ac:dyDescent="0.25">
      <c r="C12" s="1" t="s">
        <v>34</v>
      </c>
      <c r="D12" s="3">
        <f>AVERAGE(sales_data!K2:K1001)</f>
        <v>4.9630000000000001</v>
      </c>
    </row>
    <row r="13" spans="3:4" x14ac:dyDescent="0.25">
      <c r="C13" s="1" t="s">
        <v>35</v>
      </c>
      <c r="D13" s="5">
        <f>COUNTA(sales_data!A2:A1001)</f>
        <v>1000</v>
      </c>
    </row>
  </sheetData>
  <mergeCells count="1">
    <mergeCell ref="C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78DAD-58D2-441B-A53F-EF9E1CE23E09}">
  <dimension ref="C1:G79"/>
  <sheetViews>
    <sheetView workbookViewId="0">
      <selection activeCell="A10" sqref="A10"/>
    </sheetView>
  </sheetViews>
  <sheetFormatPr defaultRowHeight="15" x14ac:dyDescent="0.25"/>
  <cols>
    <col min="3" max="3" width="13.42578125" bestFit="1" customWidth="1"/>
    <col min="4" max="4" width="28" bestFit="1" customWidth="1"/>
    <col min="5" max="5" width="18.5703125" bestFit="1" customWidth="1"/>
    <col min="6" max="6" width="13.140625" bestFit="1" customWidth="1"/>
    <col min="7" max="7" width="28" bestFit="1" customWidth="1"/>
  </cols>
  <sheetData>
    <row r="1" spans="3:7" ht="24" x14ac:dyDescent="0.4">
      <c r="C1" s="21" t="s">
        <v>42</v>
      </c>
      <c r="D1" s="21"/>
      <c r="E1" s="21"/>
      <c r="F1" s="21"/>
      <c r="G1" s="21"/>
    </row>
    <row r="4" spans="3:7" x14ac:dyDescent="0.25">
      <c r="C4" s="23" t="s">
        <v>44</v>
      </c>
      <c r="D4" s="23"/>
      <c r="E4" s="7"/>
      <c r="F4" s="23" t="s">
        <v>45</v>
      </c>
      <c r="G4" s="23"/>
    </row>
    <row r="5" spans="3:7" x14ac:dyDescent="0.25">
      <c r="C5" s="7"/>
      <c r="D5" s="7"/>
      <c r="E5" s="15"/>
      <c r="F5" s="7"/>
      <c r="G5" s="7"/>
    </row>
    <row r="6" spans="3:7" x14ac:dyDescent="0.25">
      <c r="C6" s="8" t="s">
        <v>38</v>
      </c>
      <c r="D6" s="9" t="s">
        <v>40</v>
      </c>
      <c r="E6" s="7"/>
      <c r="F6" s="8" t="s">
        <v>38</v>
      </c>
      <c r="G6" s="9" t="s">
        <v>46</v>
      </c>
    </row>
    <row r="7" spans="3:7" x14ac:dyDescent="0.25">
      <c r="C7" s="9" t="s">
        <v>18</v>
      </c>
      <c r="D7" s="10">
        <v>29373063</v>
      </c>
      <c r="E7" s="7"/>
      <c r="F7" s="9" t="s">
        <v>15</v>
      </c>
      <c r="G7" s="10">
        <v>7084145</v>
      </c>
    </row>
    <row r="8" spans="3:7" x14ac:dyDescent="0.25">
      <c r="C8" s="9" t="s">
        <v>15</v>
      </c>
      <c r="D8" s="10">
        <v>28628148</v>
      </c>
      <c r="E8" s="7"/>
      <c r="F8" s="9" t="s">
        <v>18</v>
      </c>
      <c r="G8" s="10">
        <v>6027453</v>
      </c>
    </row>
    <row r="9" spans="3:7" x14ac:dyDescent="0.25">
      <c r="C9" s="9" t="s">
        <v>11</v>
      </c>
      <c r="D9" s="10">
        <v>25438195</v>
      </c>
      <c r="E9" s="7"/>
      <c r="F9" s="9" t="s">
        <v>24</v>
      </c>
      <c r="G9" s="10">
        <v>5509219</v>
      </c>
    </row>
    <row r="10" spans="3:7" x14ac:dyDescent="0.25">
      <c r="C10" s="9" t="s">
        <v>24</v>
      </c>
      <c r="D10" s="10">
        <v>23876202</v>
      </c>
      <c r="E10" s="7"/>
      <c r="F10" s="9" t="s">
        <v>11</v>
      </c>
      <c r="G10" s="10">
        <v>5352301</v>
      </c>
    </row>
    <row r="11" spans="3:7" x14ac:dyDescent="0.25">
      <c r="C11" s="9" t="s">
        <v>39</v>
      </c>
      <c r="D11" s="10">
        <v>107315608</v>
      </c>
      <c r="E11" s="7"/>
      <c r="F11" s="9" t="s">
        <v>39</v>
      </c>
      <c r="G11" s="10">
        <v>23973118</v>
      </c>
    </row>
    <row r="12" spans="3:7" x14ac:dyDescent="0.25">
      <c r="C12" s="7"/>
      <c r="D12" s="7"/>
      <c r="E12" s="7"/>
      <c r="F12" s="7"/>
      <c r="G12" s="7"/>
    </row>
    <row r="13" spans="3:7" x14ac:dyDescent="0.25">
      <c r="C13" s="7"/>
      <c r="D13" s="7"/>
      <c r="E13" s="7"/>
      <c r="F13" s="7"/>
      <c r="G13" s="7"/>
    </row>
    <row r="14" spans="3:7" x14ac:dyDescent="0.25">
      <c r="C14" s="23" t="s">
        <v>48</v>
      </c>
      <c r="D14" s="23"/>
      <c r="E14" s="7"/>
      <c r="F14" s="24" t="s">
        <v>49</v>
      </c>
      <c r="G14" s="24"/>
    </row>
    <row r="15" spans="3:7" x14ac:dyDescent="0.25">
      <c r="C15" s="7"/>
      <c r="D15" s="7"/>
      <c r="E15" s="7"/>
      <c r="F15" s="7"/>
      <c r="G15" s="7"/>
    </row>
    <row r="16" spans="3:7" x14ac:dyDescent="0.25">
      <c r="C16" s="14" t="s">
        <v>38</v>
      </c>
      <c r="D16" s="14" t="s">
        <v>40</v>
      </c>
      <c r="E16" s="7"/>
      <c r="F16" s="11" t="s">
        <v>38</v>
      </c>
      <c r="G16" s="7" t="s">
        <v>40</v>
      </c>
    </row>
    <row r="17" spans="3:7" x14ac:dyDescent="0.25">
      <c r="C17" s="7" t="s">
        <v>22</v>
      </c>
      <c r="D17" s="12">
        <v>23172817</v>
      </c>
      <c r="E17" s="7"/>
      <c r="F17" s="7" t="s">
        <v>12</v>
      </c>
      <c r="G17" s="12">
        <v>22945316</v>
      </c>
    </row>
    <row r="18" spans="3:7" x14ac:dyDescent="0.25">
      <c r="C18" s="7" t="s">
        <v>23</v>
      </c>
      <c r="D18" s="12">
        <v>22711315</v>
      </c>
      <c r="E18" s="7"/>
      <c r="F18" s="7" t="s">
        <v>19</v>
      </c>
      <c r="G18" s="12">
        <v>22490262</v>
      </c>
    </row>
    <row r="19" spans="3:7" x14ac:dyDescent="0.25">
      <c r="C19" s="7" t="s">
        <v>26</v>
      </c>
      <c r="D19" s="12">
        <v>20896726</v>
      </c>
      <c r="E19" s="7"/>
      <c r="F19" s="7" t="s">
        <v>27</v>
      </c>
      <c r="G19" s="12">
        <v>22209168</v>
      </c>
    </row>
    <row r="20" spans="3:7" x14ac:dyDescent="0.25">
      <c r="C20" s="7" t="s">
        <v>13</v>
      </c>
      <c r="D20" s="12">
        <v>20612653</v>
      </c>
      <c r="E20" s="7"/>
      <c r="F20" s="7" t="s">
        <v>25</v>
      </c>
      <c r="G20" s="12">
        <v>21599594</v>
      </c>
    </row>
    <row r="21" spans="3:7" x14ac:dyDescent="0.25">
      <c r="C21" s="7" t="s">
        <v>16</v>
      </c>
      <c r="D21" s="12">
        <v>19922097</v>
      </c>
      <c r="E21" s="7"/>
      <c r="F21" s="7" t="s">
        <v>21</v>
      </c>
      <c r="G21" s="12">
        <v>18071268</v>
      </c>
    </row>
    <row r="22" spans="3:7" x14ac:dyDescent="0.25">
      <c r="C22" s="7" t="s">
        <v>39</v>
      </c>
      <c r="D22" s="12">
        <v>107315608</v>
      </c>
      <c r="E22" s="7"/>
      <c r="F22" s="7" t="s">
        <v>39</v>
      </c>
      <c r="G22" s="12">
        <v>107315608</v>
      </c>
    </row>
    <row r="23" spans="3:7" x14ac:dyDescent="0.25">
      <c r="C23" s="7"/>
      <c r="D23" s="7"/>
      <c r="E23" s="7"/>
      <c r="F23" s="7"/>
      <c r="G23" s="7"/>
    </row>
    <row r="24" spans="3:7" x14ac:dyDescent="0.25">
      <c r="C24" s="7"/>
      <c r="D24" s="7"/>
      <c r="E24" s="7"/>
      <c r="F24" s="7"/>
      <c r="G24" s="7"/>
    </row>
    <row r="25" spans="3:7" x14ac:dyDescent="0.25">
      <c r="C25" s="24" t="s">
        <v>50</v>
      </c>
      <c r="D25" s="24"/>
      <c r="E25" s="7"/>
      <c r="F25" s="24" t="s">
        <v>51</v>
      </c>
      <c r="G25" s="24"/>
    </row>
    <row r="26" spans="3:7" x14ac:dyDescent="0.25">
      <c r="C26" s="7"/>
      <c r="D26" s="7"/>
      <c r="E26" s="7"/>
      <c r="F26" s="7"/>
      <c r="G26" s="7"/>
    </row>
    <row r="27" spans="3:7" x14ac:dyDescent="0.25">
      <c r="C27" s="11" t="s">
        <v>38</v>
      </c>
      <c r="D27" s="7" t="s">
        <v>40</v>
      </c>
      <c r="E27" s="7"/>
      <c r="F27" s="11" t="s">
        <v>38</v>
      </c>
      <c r="G27" s="7" t="s">
        <v>52</v>
      </c>
    </row>
    <row r="28" spans="3:7" x14ac:dyDescent="0.25">
      <c r="C28" s="7" t="s">
        <v>14</v>
      </c>
      <c r="D28" s="12">
        <v>36379664</v>
      </c>
      <c r="E28" s="7"/>
      <c r="F28" s="7" t="s">
        <v>11</v>
      </c>
      <c r="G28" s="13">
        <v>2.8739655172413801</v>
      </c>
    </row>
    <row r="29" spans="3:7" x14ac:dyDescent="0.25">
      <c r="C29" s="7" t="s">
        <v>20</v>
      </c>
      <c r="D29" s="12">
        <v>35655573</v>
      </c>
      <c r="E29" s="7"/>
      <c r="F29" s="7" t="s">
        <v>18</v>
      </c>
      <c r="G29" s="13">
        <v>2.9946899224806183</v>
      </c>
    </row>
    <row r="30" spans="3:7" x14ac:dyDescent="0.25">
      <c r="C30" s="7" t="s">
        <v>17</v>
      </c>
      <c r="D30" s="12">
        <v>35280371</v>
      </c>
      <c r="E30" s="7"/>
      <c r="F30" s="7" t="s">
        <v>24</v>
      </c>
      <c r="G30" s="13">
        <v>3.0140434782608692</v>
      </c>
    </row>
    <row r="31" spans="3:7" x14ac:dyDescent="0.25">
      <c r="C31" s="7" t="s">
        <v>39</v>
      </c>
      <c r="D31" s="12">
        <v>107315608</v>
      </c>
      <c r="E31" s="7"/>
      <c r="F31" s="7" t="s">
        <v>15</v>
      </c>
      <c r="G31" s="13">
        <v>2.9671428571428566</v>
      </c>
    </row>
    <row r="32" spans="3:7" x14ac:dyDescent="0.25">
      <c r="C32" s="7"/>
      <c r="D32" s="7"/>
      <c r="E32" s="7"/>
      <c r="F32" s="7" t="s">
        <v>39</v>
      </c>
      <c r="G32" s="13">
        <v>2.9634200000000019</v>
      </c>
    </row>
    <row r="79" spans="6:7" ht="24" x14ac:dyDescent="0.4">
      <c r="F79" s="22" t="s">
        <v>42</v>
      </c>
      <c r="G79" s="22"/>
    </row>
  </sheetData>
  <mergeCells count="8">
    <mergeCell ref="C1:G1"/>
    <mergeCell ref="F79:G79"/>
    <mergeCell ref="C4:D4"/>
    <mergeCell ref="C14:D14"/>
    <mergeCell ref="F4:G4"/>
    <mergeCell ref="F14:G14"/>
    <mergeCell ref="C25:D25"/>
    <mergeCell ref="F25:G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BB48E-40F1-44B7-B86F-D196D9C6FC93}">
  <dimension ref="C1:U53"/>
  <sheetViews>
    <sheetView showGridLines="0" zoomScale="68" zoomScaleNormal="83" workbookViewId="0">
      <selection activeCell="AB38" sqref="AB38"/>
    </sheetView>
  </sheetViews>
  <sheetFormatPr defaultRowHeight="15" x14ac:dyDescent="0.25"/>
  <sheetData>
    <row r="1" spans="3:21" ht="31.5" x14ac:dyDescent="0.5">
      <c r="C1" s="18" t="s">
        <v>53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3" spans="3:21" x14ac:dyDescent="0.25"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spans="3:21" ht="23.25" x14ac:dyDescent="0.35">
      <c r="C4" s="19" t="s">
        <v>41</v>
      </c>
      <c r="D4" s="19"/>
      <c r="E4" s="19"/>
      <c r="F4" s="19"/>
      <c r="G4" s="19"/>
      <c r="H4" s="19"/>
      <c r="I4" s="19"/>
      <c r="J4" s="19"/>
      <c r="K4" s="19"/>
      <c r="L4" s="17"/>
      <c r="M4" s="19" t="s">
        <v>43</v>
      </c>
      <c r="N4" s="19"/>
      <c r="O4" s="19"/>
      <c r="P4" s="19"/>
      <c r="Q4" s="19"/>
      <c r="R4" s="19"/>
      <c r="S4" s="19"/>
      <c r="T4" s="19"/>
      <c r="U4" s="17"/>
    </row>
    <row r="5" spans="3:21" x14ac:dyDescent="0.25"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</row>
    <row r="6" spans="3:21" x14ac:dyDescent="0.25"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</row>
    <row r="7" spans="3:21" x14ac:dyDescent="0.25"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</row>
    <row r="8" spans="3:21" x14ac:dyDescent="0.25"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</row>
    <row r="9" spans="3:21" x14ac:dyDescent="0.25"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</row>
    <row r="10" spans="3:21" x14ac:dyDescent="0.25"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</row>
    <row r="11" spans="3:21" x14ac:dyDescent="0.25"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3:21" x14ac:dyDescent="0.25"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</row>
    <row r="13" spans="3:21" x14ac:dyDescent="0.25"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3:21" x14ac:dyDescent="0.25"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3:21" x14ac:dyDescent="0.25"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3:21" x14ac:dyDescent="0.25"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3:21" x14ac:dyDescent="0.25"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3:21" x14ac:dyDescent="0.25"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3:21" x14ac:dyDescent="0.25"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3:21" ht="23.25" x14ac:dyDescent="0.35">
      <c r="C20" s="19" t="s">
        <v>47</v>
      </c>
      <c r="D20" s="19"/>
      <c r="E20" s="19"/>
      <c r="F20" s="19"/>
      <c r="G20" s="19"/>
      <c r="H20" s="19"/>
      <c r="I20" s="19"/>
      <c r="J20" s="19"/>
      <c r="K20" s="19"/>
      <c r="L20" s="17"/>
      <c r="M20" s="19" t="s">
        <v>54</v>
      </c>
      <c r="N20" s="19"/>
      <c r="O20" s="19"/>
      <c r="P20" s="19"/>
      <c r="Q20" s="19"/>
      <c r="R20" s="19"/>
      <c r="S20" s="19"/>
      <c r="T20" s="19"/>
      <c r="U20" s="19"/>
    </row>
    <row r="21" spans="3:21" x14ac:dyDescent="0.25"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3:21" x14ac:dyDescent="0.25"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3:21" x14ac:dyDescent="0.25"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3:21" x14ac:dyDescent="0.25"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3:21" x14ac:dyDescent="0.25"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3:21" x14ac:dyDescent="0.25"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3:21" x14ac:dyDescent="0.25"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3:21" x14ac:dyDescent="0.25"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3:21" x14ac:dyDescent="0.25"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3:21" x14ac:dyDescent="0.25"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3:21" x14ac:dyDescent="0.25"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3:21" x14ac:dyDescent="0.25"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3:21" x14ac:dyDescent="0.25"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3:21" x14ac:dyDescent="0.25"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3:21" x14ac:dyDescent="0.25"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3:21" x14ac:dyDescent="0.25"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3:21" x14ac:dyDescent="0.25"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3:21" x14ac:dyDescent="0.25"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3:21" ht="23.25" x14ac:dyDescent="0.35">
      <c r="C39" s="19" t="s">
        <v>55</v>
      </c>
      <c r="D39" s="19"/>
      <c r="E39" s="19"/>
      <c r="F39" s="19"/>
      <c r="G39" s="19"/>
      <c r="H39" s="19"/>
      <c r="I39" s="19"/>
      <c r="J39" s="19"/>
      <c r="K39" s="19"/>
      <c r="L39" s="17"/>
      <c r="M39" s="19" t="s">
        <v>56</v>
      </c>
      <c r="N39" s="19"/>
      <c r="O39" s="19"/>
      <c r="P39" s="19"/>
      <c r="Q39" s="19"/>
      <c r="R39" s="19"/>
      <c r="S39" s="19"/>
      <c r="T39" s="19"/>
      <c r="U39" s="19"/>
    </row>
    <row r="40" spans="3:21" x14ac:dyDescent="0.25"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3:21" x14ac:dyDescent="0.25"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3:21" x14ac:dyDescent="0.25"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3:21" x14ac:dyDescent="0.25"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3:21" x14ac:dyDescent="0.25"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3:21" x14ac:dyDescent="0.25"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3:21" x14ac:dyDescent="0.25"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3:21" x14ac:dyDescent="0.25"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3:21" x14ac:dyDescent="0.25"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3:21" x14ac:dyDescent="0.25"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3:21" x14ac:dyDescent="0.25"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3:21" x14ac:dyDescent="0.25"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3:21" x14ac:dyDescent="0.25"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3:21" x14ac:dyDescent="0.25"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</row>
  </sheetData>
  <mergeCells count="7">
    <mergeCell ref="C1:U1"/>
    <mergeCell ref="M20:U20"/>
    <mergeCell ref="M39:U39"/>
    <mergeCell ref="C4:K4"/>
    <mergeCell ref="C20:K20"/>
    <mergeCell ref="C39:K39"/>
    <mergeCell ref="M4:T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</vt:lpstr>
      <vt:lpstr>KPI</vt:lpstr>
      <vt:lpstr>Pivot_Analysis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Ramya M</cp:lastModifiedBy>
  <dcterms:created xsi:type="dcterms:W3CDTF">2026-07-03T13:35:07Z</dcterms:created>
  <dcterms:modified xsi:type="dcterms:W3CDTF">2026-08-01T14:27:15Z</dcterms:modified>
</cp:coreProperties>
</file>